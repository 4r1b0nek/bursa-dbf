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ra Update" sheetId="2" state="visible" r:id="rId2"/>
    <sheet xmlns:r="http://schemas.openxmlformats.org/officeDocument/2006/relationships" name="Valuasi &amp; Skenario" sheetId="3" state="visible" r:id="rId3"/>
    <sheet xmlns:r="http://schemas.openxmlformats.org/officeDocument/2006/relationships" name="Simulator" sheetId="4" state="visible" r:id="rId4"/>
    <sheet xmlns:r="http://schemas.openxmlformats.org/officeDocument/2006/relationships" name="Proyeksi Tahunan" sheetId="5" state="visible" r:id="rId5"/>
    <sheet xmlns:r="http://schemas.openxmlformats.org/officeDocument/2006/relationships" name="Simulasi" sheetId="6" state="visible" r:id="rId6"/>
    <sheet xmlns:r="http://schemas.openxmlformats.org/officeDocument/2006/relationships" name="Data Keuangan (lama)" sheetId="7" state="visible" r:id="rId7"/>
    <sheet xmlns:r="http://schemas.openxmlformats.org/officeDocument/2006/relationships" name="Teknikal" sheetId="8" state="visible" r:id="rId8"/>
    <sheet xmlns:r="http://schemas.openxmlformats.org/officeDocument/2006/relationships" name="Catatan" sheetId="9" state="visible" r:id="rId9"/>
    <sheet xmlns:r="http://schemas.openxmlformats.org/officeDocument/2006/relationships" name="Log Bulanan" sheetId="10" state="visible" r:id="rId10"/>
    <sheet xmlns:r="http://schemas.openxmlformats.org/officeDocument/2006/relationships" name="Skor" sheetId="11" state="visible" r:id="rId11"/>
    <sheet xmlns:r="http://schemas.openxmlformats.org/officeDocument/2006/relationships" name="Data Keuangan" sheetId="12" state="visible" r:id="rId12"/>
    <sheet xmlns:r="http://schemas.openxmlformats.org/officeDocument/2006/relationships" name="Dividen" sheetId="13" state="visible" r:id="rId13"/>
    <sheet xmlns:r="http://schemas.openxmlformats.org/officeDocument/2006/relationships" name="Ringkasan 5 Tahun" sheetId="14" state="visible" r:id="rId14"/>
    <sheet xmlns:r="http://schemas.openxmlformats.org/officeDocument/2006/relationships" name="Historik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&quot;x&quot;"/>
    <numFmt numFmtId="165" formatCode="0.0%"/>
    <numFmt numFmtId="166" formatCode="0.0"/>
    <numFmt numFmtId="167" formatCode="0.0&quot;x&quot;"/>
    <numFmt numFmtId="168" formatCode="&quot;Rp&quot;#,##0"/>
    <numFmt numFmtId="169" formatCode="#,##0.0"/>
  </numFmts>
  <fonts count="19">
    <font>
      <name val="Calibri"/>
      <family val="2"/>
      <color theme="1"/>
      <sz val="11"/>
      <scheme val="minor"/>
    </font>
    <font>
      <b val="1"/>
      <color rgb="001F3564"/>
      <sz val="15"/>
    </font>
    <font>
      <i val="1"/>
      <color rgb="00595959"/>
      <sz val="9"/>
    </font>
    <font>
      <b val="1"/>
      <color rgb="001F3564"/>
      <sz val="9"/>
    </font>
    <font>
      <b val="1"/>
      <color rgb="00595959"/>
      <sz val="9"/>
    </font>
    <font>
      <color rgb="00595959"/>
      <sz val="9"/>
    </font>
    <font>
      <i val="1"/>
      <color rgb="007F7F7F"/>
      <sz val="8"/>
    </font>
    <font>
      <b val="1"/>
      <color rgb="00FFFFFF"/>
      <sz val="9"/>
    </font>
    <font>
      <b val="1"/>
      <sz val="9"/>
    </font>
    <font>
      <sz val="9"/>
    </font>
    <font>
      <b val="1"/>
      <color rgb="001F3564"/>
      <sz val="11"/>
    </font>
    <font>
      <name val="Consolas"/>
      <color rgb="001F3564"/>
      <sz val="9"/>
    </font>
    <font>
      <sz val="10"/>
    </font>
    <font>
      <b val="1"/>
      <sz val="10"/>
    </font>
    <font>
      <b val="1"/>
      <color rgb="001F3564"/>
      <sz val="10"/>
    </font>
    <font>
      <b val="1"/>
      <color rgb="001F3564"/>
    </font>
    <font>
      <b val="1"/>
      <color rgb="00B07D0A"/>
      <sz val="10"/>
    </font>
    <font>
      <b val="1"/>
      <color rgb="000B3B37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564"/>
      </patternFill>
    </fill>
    <fill>
      <patternFill patternType="solid">
        <fgColor rgb="00F2F4F8"/>
      </patternFill>
    </fill>
    <fill>
      <patternFill patternType="solid">
        <fgColor rgb="00FDE68A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9CFDA"/>
      </left>
      <right style="thin">
        <color rgb="00C9CFDA"/>
      </right>
      <top style="thin">
        <color rgb="00C9CFDA"/>
      </top>
      <bottom style="thin">
        <color rgb="00C9CFDA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3" fontId="3" fillId="0" borderId="0" pivotButton="0" quotePrefix="0" xfId="0"/>
    <xf numFmtId="1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3" fontId="8" fillId="2" borderId="1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166" fontId="9" fillId="4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vertical="center" wrapText="1"/>
    </xf>
    <xf numFmtId="0" fontId="8" fillId="4" borderId="1" pivotButton="0" quotePrefix="0" xfId="0"/>
    <xf numFmtId="0" fontId="9" fillId="4" borderId="1" applyAlignment="1" pivotButton="0" quotePrefix="0" xfId="0">
      <alignment horizontal="center"/>
    </xf>
    <xf numFmtId="0" fontId="9" fillId="4" borderId="1" applyAlignment="1" pivotButton="0" quotePrefix="0" xfId="0">
      <alignment vertical="center" wrapText="1"/>
    </xf>
    <xf numFmtId="0" fontId="10" fillId="0" borderId="0" pivotButton="0" quotePrefix="0" xfId="0"/>
    <xf numFmtId="0" fontId="9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11" fillId="4" borderId="0" pivotButton="0" quotePrefix="0" xfId="0"/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center"/>
    </xf>
    <xf numFmtId="3" fontId="9" fillId="0" borderId="1" applyAlignment="1" pivotButton="0" quotePrefix="0" xfId="0">
      <alignment horizontal="center"/>
    </xf>
    <xf numFmtId="167" fontId="9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0" fontId="12" fillId="0" borderId="0" pivotButton="0" quotePrefix="0" xfId="0"/>
    <xf numFmtId="168" fontId="13" fillId="2" borderId="1" pivotButton="0" quotePrefix="0" xfId="0"/>
    <xf numFmtId="10" fontId="13" fillId="2" borderId="1" pivotButton="0" quotePrefix="0" xfId="0"/>
    <xf numFmtId="168" fontId="14" fillId="0" borderId="1" pivotButton="0" quotePrefix="0" xfId="0"/>
    <xf numFmtId="1" fontId="13" fillId="2" borderId="1" pivotButton="0" quotePrefix="0" xfId="0"/>
    <xf numFmtId="164" fontId="14" fillId="0" borderId="1" pivotButton="0" quotePrefix="0" xfId="0"/>
    <xf numFmtId="168" fontId="0" fillId="2" borderId="0" pivotButton="0" quotePrefix="0" xfId="0"/>
    <xf numFmtId="168" fontId="15" fillId="0" borderId="0" pivotButton="0" quotePrefix="0" xfId="0"/>
    <xf numFmtId="1" fontId="0" fillId="0" borderId="0" pivotButton="0" quotePrefix="0" xfId="0"/>
    <xf numFmtId="1" fontId="9" fillId="0" borderId="1" pivotButton="0" quotePrefix="0" xfId="0"/>
    <xf numFmtId="3" fontId="9" fillId="0" borderId="1" pivotButton="0" quotePrefix="0" xfId="0"/>
    <xf numFmtId="165" fontId="9" fillId="0" borderId="1" pivotButton="0" quotePrefix="0" xfId="0"/>
    <xf numFmtId="1" fontId="9" fillId="4" borderId="1" pivotButton="0" quotePrefix="0" xfId="0"/>
    <xf numFmtId="3" fontId="9" fillId="4" borderId="1" pivotButton="0" quotePrefix="0" xfId="0"/>
    <xf numFmtId="165" fontId="9" fillId="4" borderId="1" pivotButton="0" quotePrefix="0" xfId="0"/>
    <xf numFmtId="4" fontId="0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169" fontId="9" fillId="0" borderId="0" pivotButton="0" quotePrefix="0" xfId="0"/>
    <xf numFmtId="166" fontId="9" fillId="0" borderId="1" applyAlignment="1" pivotButton="0" quotePrefix="0" xfId="0">
      <alignment horizontal="center"/>
    </xf>
    <xf numFmtId="169" fontId="9" fillId="0" borderId="1" applyAlignment="1" pivotButton="0" quotePrefix="0" xfId="0">
      <alignment horizontal="center"/>
    </xf>
    <xf numFmtId="0" fontId="9" fillId="0" borderId="1" pivotButton="0" quotePrefix="0" xfId="0"/>
    <xf numFmtId="166" fontId="9" fillId="0" borderId="1" pivotButton="0" quotePrefix="0" xfId="0"/>
    <xf numFmtId="0" fontId="17" fillId="5" borderId="1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8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1" customWidth="1" min="15" max="15"/>
    <col width="8" customWidth="1" min="16" max="16"/>
    <col width="7" customWidth="1" min="17" max="17"/>
    <col width="16" customWidth="1" min="18" max="18"/>
    <col width="17" customWidth="1" min="19" max="19"/>
    <col width="11" customWidth="1" min="20" max="20"/>
    <col width="10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>
      <c r="A1" s="1" t="inlineStr">
        <is>
          <t>Dashboard 14 Saham BEI</t>
        </is>
      </c>
    </row>
    <row r="2">
      <c r="A2" s="2" t="inlineStr">
        <is>
          <t>Sel KUNING = input manual. Kolom PER, PBV, Yield, Payout, MoS, dan Perubahan dihitung otomatis dari input.</t>
        </is>
      </c>
    </row>
    <row r="3" ht="20" customHeight="1">
      <c r="A3" s="3" t="inlineStr">
        <is>
          <t>Terakhir diperbarui:  2026-10-28     ← ubah tanggal ini setiap kali memperbarui harga</t>
        </is>
      </c>
    </row>
    <row r="4" ht="16" customHeight="1">
      <c r="A4" s="4" t="inlineStr">
        <is>
          <t>IHSG</t>
        </is>
      </c>
      <c r="B4" s="5" t="n">
        <v>5236</v>
      </c>
      <c r="C4" s="6" t="n">
        <v>-0.008200000000000001</v>
      </c>
      <c r="D4" s="7" t="inlineStr">
        <is>
          <t>penutupan 21 Okt 2026</t>
        </is>
      </c>
    </row>
    <row r="5" ht="32" customHeight="1">
      <c r="A5" s="8" t="inlineStr">
        <is>
          <t>Kode</t>
        </is>
      </c>
      <c r="B5" s="8" t="inlineStr">
        <is>
          <t>Emiten</t>
        </is>
      </c>
      <c r="C5" s="8" t="inlineStr">
        <is>
          <t>Sektor</t>
        </is>
      </c>
      <c r="D5" s="8" t="inlineStr">
        <is>
          <t>Harga</t>
        </is>
      </c>
      <c r="E5" s="8" t="inlineStr">
        <is>
          <t>EPS TTM</t>
        </is>
      </c>
      <c r="F5" s="8" t="inlineStr">
        <is>
          <t>BVPS</t>
        </is>
      </c>
      <c r="G5" s="8" t="inlineStr">
        <is>
          <t>DPS TTM</t>
        </is>
      </c>
      <c r="H5" s="8" t="inlineStr">
        <is>
          <t>PER</t>
        </is>
      </c>
      <c r="I5" s="8" t="inlineStr">
        <is>
          <t>PER 5y</t>
        </is>
      </c>
      <c r="J5" s="8" t="inlineStr">
        <is>
          <t>PBV</t>
        </is>
      </c>
      <c r="K5" s="8" t="inlineStr">
        <is>
          <t>PBV 5y</t>
        </is>
      </c>
      <c r="L5" s="8" t="inlineStr">
        <is>
          <t>ROE</t>
        </is>
      </c>
      <c r="M5" s="8" t="inlineStr">
        <is>
          <t>Yield</t>
        </is>
      </c>
      <c r="N5" s="8" t="inlineStr">
        <is>
          <t>Payout</t>
        </is>
      </c>
      <c r="O5" s="8" t="inlineStr">
        <is>
          <t>Nilai Wajar</t>
        </is>
      </c>
      <c r="P5" s="8" t="inlineStr">
        <is>
          <t>MoS</t>
        </is>
      </c>
      <c r="Q5" s="8" t="inlineStr">
        <is>
          <t>Skor</t>
        </is>
      </c>
      <c r="R5" s="8" t="inlineStr">
        <is>
          <t>Rating</t>
        </is>
      </c>
      <c r="S5" s="8" t="inlineStr">
        <is>
          <t>Keputusan</t>
        </is>
      </c>
      <c r="T5" s="8" t="inlineStr">
        <is>
          <t>Harga 21 Okt</t>
        </is>
      </c>
      <c r="U5" s="8" t="inlineStr">
        <is>
          <t>Perubahan</t>
        </is>
      </c>
      <c r="V5" s="68" t="inlineStr">
        <is>
          <t>ROA (%)</t>
        </is>
      </c>
      <c r="W5" s="68" t="inlineStr">
        <is>
          <t>DER (x)</t>
        </is>
      </c>
      <c r="X5" s="68" t="inlineStr">
        <is>
          <t>EV/EBITDA (x)</t>
        </is>
      </c>
      <c r="Y5" s="68" t="inlineStr">
        <is>
          <t>Level Akumulasi</t>
        </is>
      </c>
      <c r="Z5" s="68" t="inlineStr">
        <is>
          <t>Level Beli</t>
        </is>
      </c>
      <c r="AA5" s="68" t="inlineStr">
        <is>
          <t>Target</t>
        </is>
      </c>
      <c r="AB5" s="68" t="inlineStr">
        <is>
          <t>Cut Loss</t>
        </is>
      </c>
      <c r="AC5" s="68" t="inlineStr">
        <is>
          <t>Ringkasan</t>
        </is>
      </c>
      <c r="AD5" s="68" t="inlineStr">
        <is>
          <t>Market Cap (Rp T)</t>
        </is>
      </c>
      <c r="AE5" s="68" t="inlineStr">
        <is>
          <t>PM (%)</t>
        </is>
      </c>
      <c r="AF5" s="68" t="inlineStr">
        <is>
          <t>OM (%)</t>
        </is>
      </c>
      <c r="AG5" s="68" t="inlineStr">
        <is>
          <t>CR (x)</t>
        </is>
      </c>
      <c r="AH5" s="68" t="inlineStr">
        <is>
          <t>ICR (x)</t>
        </is>
      </c>
      <c r="AI5" s="68" t="inlineStr">
        <is>
          <t>FCF</t>
        </is>
      </c>
      <c r="AJ5" s="68" t="inlineStr">
        <is>
          <t>Debt</t>
        </is>
      </c>
      <c r="AK5" s="68" t="inlineStr">
        <is>
          <t>Equity</t>
        </is>
      </c>
      <c r="AL5" s="68" t="inlineStr">
        <is>
          <t>Cash</t>
        </is>
      </c>
    </row>
    <row r="6">
      <c r="A6" s="9" t="inlineStr">
        <is>
          <t>BMRI</t>
        </is>
      </c>
      <c r="B6" s="10" t="inlineStr">
        <is>
          <t>Bank Mandiri</t>
        </is>
      </c>
      <c r="C6" s="11" t="inlineStr">
        <is>
          <t>Bank</t>
        </is>
      </c>
      <c r="D6" s="12" t="n">
        <v>3790</v>
      </c>
      <c r="E6" s="13" t="n">
        <v>687.14</v>
      </c>
      <c r="F6" s="13" t="n">
        <v>3244.401585770921</v>
      </c>
      <c r="G6" s="13" t="n">
        <v>476.96</v>
      </c>
      <c r="H6" s="14">
        <f>IFERROR(D6/E6,"n/a")</f>
        <v/>
      </c>
      <c r="I6" s="14" t="n">
        <v>10.24</v>
      </c>
      <c r="J6" s="14">
        <f>IFERROR(D6/F6,"n/a")</f>
        <v/>
      </c>
      <c r="K6" s="14" t="n">
        <v>1.686</v>
      </c>
      <c r="L6" s="15" t="n">
        <v>0.2176</v>
      </c>
      <c r="M6" s="15">
        <f>IFERROR(G6/D6,"")</f>
        <v/>
      </c>
      <c r="N6" s="15">
        <f>IFERROR(G6/E6,"")</f>
        <v/>
      </c>
      <c r="O6" s="13" t="n">
        <v>6174.412366613093</v>
      </c>
      <c r="P6" s="15">
        <f>IFERROR((O6-D6)/O6,"")</f>
        <v/>
      </c>
      <c r="Q6" s="16" t="n">
        <v>70.5</v>
      </c>
      <c r="R6" s="10" t="inlineStr">
        <is>
          <t>Menarik</t>
        </is>
      </c>
      <c r="S6" s="10" t="inlineStr">
        <is>
          <t>Buy</t>
        </is>
      </c>
      <c r="T6" s="17" t="n">
        <v>3700</v>
      </c>
      <c r="U6" s="15">
        <f>IFERROR(D6/T6-1,"")</f>
        <v/>
      </c>
      <c r="Y6" t="inlineStr">
        <is>
          <t>3.650 - 3.750</t>
        </is>
      </c>
      <c r="Z6" t="inlineStr">
        <is>
          <t>3.750 - 3.850</t>
        </is>
      </c>
      <c r="AA6" t="n">
        <v>6174.412366613093</v>
      </c>
      <c r="AB6" t="n">
        <v>3600</v>
      </c>
      <c r="AC6" t="inlineStr">
        <is>
          <t>Bank · skor 70.5 · Menarik · Buy</t>
        </is>
      </c>
    </row>
    <row r="7">
      <c r="A7" s="18" t="inlineStr">
        <is>
          <t>BBRI</t>
        </is>
      </c>
      <c r="B7" s="19" t="inlineStr">
        <is>
          <t>Bank Rakyat Indonesia</t>
        </is>
      </c>
      <c r="C7" s="20" t="inlineStr">
        <is>
          <t>Bank</t>
        </is>
      </c>
      <c r="D7" s="12" t="n">
        <v>2860</v>
      </c>
      <c r="E7" s="13" t="n">
        <v>406.65</v>
      </c>
      <c r="F7" s="13" t="n">
        <v>2181.245022564375</v>
      </c>
      <c r="G7" s="13" t="n">
        <v>346</v>
      </c>
      <c r="H7" s="21">
        <f>IFERROR(D7/E7,"n/a")</f>
        <v/>
      </c>
      <c r="I7" s="21" t="n">
        <v>13.76</v>
      </c>
      <c r="J7" s="21">
        <f>IFERROR(D7/F7,"n/a")</f>
        <v/>
      </c>
      <c r="K7" s="21" t="n">
        <v>2.174</v>
      </c>
      <c r="L7" s="22" t="n">
        <v>0.1899</v>
      </c>
      <c r="M7" s="22">
        <f>IFERROR(G7/D7,"")</f>
        <v/>
      </c>
      <c r="N7" s="22">
        <f>IFERROR(G7/E7,"")</f>
        <v/>
      </c>
      <c r="O7" s="13" t="n">
        <v>3327.150753377009</v>
      </c>
      <c r="P7" s="22">
        <f>IFERROR((O7-D7)/O7,"")</f>
        <v/>
      </c>
      <c r="Q7" s="23" t="n">
        <v>67</v>
      </c>
      <c r="R7" s="19" t="inlineStr">
        <is>
          <t>Menarik</t>
        </is>
      </c>
      <c r="S7" s="19" t="inlineStr">
        <is>
          <t>Buy (bertahap)</t>
        </is>
      </c>
      <c r="T7" s="24" t="n">
        <v>2810</v>
      </c>
      <c r="U7" s="22">
        <f>IFERROR(D7/T7-1,"")</f>
        <v/>
      </c>
      <c r="Y7" t="inlineStr">
        <is>
          <t>2.725 - 2.825</t>
        </is>
      </c>
      <c r="Z7" t="inlineStr">
        <is>
          <t>2.825 - 2.900</t>
        </is>
      </c>
      <c r="AA7" t="n">
        <v>3327.150753377009</v>
      </c>
      <c r="AB7" t="n">
        <v>2675</v>
      </c>
      <c r="AC7" t="inlineStr">
        <is>
          <t>Bank · skor 67 · Menarik · Buy (bertahap)</t>
        </is>
      </c>
    </row>
    <row r="8">
      <c r="A8" s="9" t="inlineStr">
        <is>
          <t>BBCA</t>
        </is>
      </c>
      <c r="B8" s="10" t="inlineStr">
        <is>
          <t>Bank Central Asia</t>
        </is>
      </c>
      <c r="C8" s="11" t="inlineStr">
        <is>
          <t>Bank</t>
        </is>
      </c>
      <c r="D8" s="12" t="n">
        <v>5075</v>
      </c>
      <c r="E8" s="13" t="n">
        <v>482.44</v>
      </c>
      <c r="F8" s="13" t="n">
        <v>2309.182676652556</v>
      </c>
      <c r="G8" s="13" t="n">
        <v>381</v>
      </c>
      <c r="H8" s="14">
        <f>IFERROR(D8/E8,"n/a")</f>
        <v/>
      </c>
      <c r="I8" s="14" t="n">
        <v>23.476</v>
      </c>
      <c r="J8" s="14">
        <f>IFERROR(D8/F8,"n/a")</f>
        <v/>
      </c>
      <c r="K8" s="14" t="n">
        <v>4.41</v>
      </c>
      <c r="L8" s="15" t="n">
        <v>0.212</v>
      </c>
      <c r="M8" s="15">
        <f>IFERROR(G8/D8,"")</f>
        <v/>
      </c>
      <c r="N8" s="15">
        <f>IFERROR(G8/E8,"")</f>
        <v/>
      </c>
      <c r="O8" s="13" t="n">
        <v>4162.072847492185</v>
      </c>
      <c r="P8" s="15">
        <f>IFERROR((O8-D8)/O8,"")</f>
        <v/>
      </c>
      <c r="Q8" s="16" t="n">
        <v>58</v>
      </c>
      <c r="R8" s="10" t="inlineStr">
        <is>
          <t>Netral</t>
        </is>
      </c>
      <c r="S8" s="10" t="inlineStr">
        <is>
          <t>Wait and See</t>
        </is>
      </c>
      <c r="T8" s="17" t="n">
        <v>5275</v>
      </c>
      <c r="U8" s="15">
        <f>IFERROR(D8/T8-1,"")</f>
        <v/>
      </c>
      <c r="Y8" t="inlineStr">
        <is>
          <t>4.800 - 4.975</t>
        </is>
      </c>
      <c r="Z8" t="inlineStr">
        <is>
          <t>4.975 - 5.175</t>
        </is>
      </c>
      <c r="AA8" t="n">
        <v>4162.072847492185</v>
      </c>
      <c r="AB8" t="n">
        <v>4725</v>
      </c>
      <c r="AC8" t="inlineStr">
        <is>
          <t>Bank · skor 58 · Netral · Wait and See</t>
        </is>
      </c>
    </row>
    <row r="9">
      <c r="A9" s="18" t="inlineStr">
        <is>
          <t>BJBR</t>
        </is>
      </c>
      <c r="B9" s="19" t="inlineStr">
        <is>
          <t>Bank BJB</t>
        </is>
      </c>
      <c r="C9" s="20" t="inlineStr">
        <is>
          <t>Bank Daerah</t>
        </is>
      </c>
      <c r="D9" s="12" t="n">
        <v>720</v>
      </c>
      <c r="E9" s="13" t="n">
        <v>137.12</v>
      </c>
      <c r="F9" s="13" t="n">
        <v>1879.277566539924</v>
      </c>
      <c r="G9" s="13" t="n">
        <v>85.54000000000001</v>
      </c>
      <c r="H9" s="21">
        <f>IFERROR(D9/E9,"n/a")</f>
        <v/>
      </c>
      <c r="I9" s="21" t="n">
        <v>6.452</v>
      </c>
      <c r="J9" s="21">
        <f>IFERROR(D9/F9,"n/a")</f>
        <v/>
      </c>
      <c r="K9" s="21" t="n">
        <v>0.7300000000000001</v>
      </c>
      <c r="L9" s="22" t="n">
        <v>0.09380000000000001</v>
      </c>
      <c r="M9" s="22">
        <f>IFERROR(G9/D9,"")</f>
        <v/>
      </c>
      <c r="N9" s="22">
        <f>IFERROR(G9/E9,"")</f>
        <v/>
      </c>
      <c r="O9" s="13" t="n">
        <v>1040.374330580753</v>
      </c>
      <c r="P9" s="22">
        <f>IFERROR((O9-D9)/O9,"")</f>
        <v/>
      </c>
      <c r="Q9" s="23" t="n">
        <v>60.5</v>
      </c>
      <c r="R9" s="19" t="inlineStr">
        <is>
          <t>Menarik</t>
        </is>
      </c>
      <c r="S9" s="19" t="inlineStr">
        <is>
          <t>Buy (bertahap)</t>
        </is>
      </c>
      <c r="T9" s="24" t="n">
        <v>715</v>
      </c>
      <c r="U9" s="22">
        <f>IFERROR(D9/T9-1,"")</f>
        <v/>
      </c>
      <c r="V9" t="n">
        <v>0.84</v>
      </c>
      <c r="Y9" t="inlineStr">
        <is>
          <t>660 - 700</t>
        </is>
      </c>
      <c r="Z9" t="inlineStr">
        <is>
          <t>700 - 725</t>
        </is>
      </c>
      <c r="AA9" t="inlineStr">
        <is>
          <t>800 / 900</t>
        </is>
      </c>
      <c r="AB9" t="n">
        <v>640</v>
      </c>
      <c r="AC9" t="inlineStr">
        <is>
          <t>Yield 12,0%, PB 0,38x, laba H1-2026 +58,8%, tetapi NPL naik ke 3,3% dan peringkat turun ke idAA-. Valuasi murah dengan risiko kualitas aset nyata: beli bertahap, posisi maksimal 12-14%.</t>
        </is>
      </c>
      <c r="AD9" t="n">
        <v>7.57</v>
      </c>
      <c r="AE9" t="n">
        <v>15.54</v>
      </c>
      <c r="AF9" t="n">
        <v>25.63</v>
      </c>
      <c r="AI9" t="n">
        <v>20970000</v>
      </c>
      <c r="AJ9" t="n">
        <v>43640000</v>
      </c>
      <c r="AK9" t="n">
        <v>19770000</v>
      </c>
      <c r="AL9" t="n">
        <v>21870000</v>
      </c>
    </row>
    <row r="10">
      <c r="A10" s="9" t="inlineStr">
        <is>
          <t>BJTM</t>
        </is>
      </c>
      <c r="B10" s="10" t="inlineStr">
        <is>
          <t>Bank Jatim</t>
        </is>
      </c>
      <c r="C10" s="11" t="inlineStr">
        <is>
          <t>Bank Daerah</t>
        </is>
      </c>
      <c r="D10" s="12" t="n">
        <v>496</v>
      </c>
      <c r="E10" s="13" t="n">
        <v>104.36</v>
      </c>
      <c r="F10" s="13" t="n">
        <v>1440.745672436751</v>
      </c>
      <c r="G10" s="13" t="n">
        <v>56.62</v>
      </c>
      <c r="H10" s="14">
        <f>IFERROR(D10/E10,"n/a")</f>
        <v/>
      </c>
      <c r="I10" s="14" t="n">
        <v>6.452</v>
      </c>
      <c r="J10" s="14">
        <f>IFERROR(D10/F10,"n/a")</f>
        <v/>
      </c>
      <c r="K10" s="14" t="n">
        <v>0.7300000000000001</v>
      </c>
      <c r="L10" s="15" t="n">
        <v>0.1127</v>
      </c>
      <c r="M10" s="15">
        <f>IFERROR(G10/D10,"")</f>
        <v/>
      </c>
      <c r="N10" s="15">
        <f>IFERROR(G10/E10,"")</f>
        <v/>
      </c>
      <c r="O10" s="13" t="n">
        <v>966.2608534713324</v>
      </c>
      <c r="P10" s="15">
        <f>IFERROR((O10-D10)/O10,"")</f>
        <v/>
      </c>
      <c r="Q10" s="16" t="n">
        <v>59</v>
      </c>
      <c r="R10" s="10" t="inlineStr">
        <is>
          <t>Menarik</t>
        </is>
      </c>
      <c r="S10" s="10" t="inlineStr">
        <is>
          <t>Buy (bertahap)</t>
        </is>
      </c>
      <c r="T10" s="17" t="n">
        <v>498</v>
      </c>
      <c r="U10" s="15">
        <f>IFERROR(D10/T10-1,"")</f>
        <v/>
      </c>
      <c r="V10" t="n">
        <v>1.46</v>
      </c>
      <c r="Y10" t="inlineStr">
        <is>
          <t>465 - 490</t>
        </is>
      </c>
      <c r="Z10" t="inlineStr">
        <is>
          <t>490 - 505</t>
        </is>
      </c>
      <c r="AA10" t="inlineStr">
        <is>
          <t>540 / 605</t>
        </is>
      </c>
      <c r="AB10" t="n">
        <v>460</v>
      </c>
      <c r="AC10" t="inlineStr">
        <is>
          <t>PB 0,35x, yield 11,4%, payout 55%: harga bank dalam kondisi stres. Kunci tesis adalah NPL 3,88%; jika kualitas aset stabil, re-rating ke PB 0,55 berarti +57%. Batasi posisi 8-10%.</t>
        </is>
      </c>
      <c r="AD10" t="n">
        <v>7.48</v>
      </c>
      <c r="AE10" t="n">
        <v>19.87</v>
      </c>
      <c r="AF10" t="n">
        <v>30.23</v>
      </c>
      <c r="AI10" t="n">
        <v>-4803360</v>
      </c>
      <c r="AJ10" t="n">
        <v>15100000</v>
      </c>
      <c r="AK10" t="n">
        <v>21640000</v>
      </c>
      <c r="AL10" t="n">
        <v>15720000</v>
      </c>
    </row>
    <row r="11">
      <c r="A11" s="18" t="inlineStr">
        <is>
          <t>TLKM</t>
        </is>
      </c>
      <c r="B11" s="19" t="inlineStr">
        <is>
          <t>Telkom Indonesia</t>
        </is>
      </c>
      <c r="C11" s="20" t="inlineStr">
        <is>
          <t>Telekomunikasi</t>
        </is>
      </c>
      <c r="D11" s="12" t="n">
        <v>2060</v>
      </c>
      <c r="E11" s="13" t="n">
        <v>181.57</v>
      </c>
      <c r="F11" s="13" t="n">
        <v>1367.924528301887</v>
      </c>
      <c r="G11" s="13" t="n">
        <v>223.17</v>
      </c>
      <c r="H11" s="21">
        <f>IFERROR(D11/E11,"n/a")</f>
        <v/>
      </c>
      <c r="I11" s="21" t="n">
        <v>16.254</v>
      </c>
      <c r="J11" s="21">
        <f>IFERROR(D11/F11,"n/a")</f>
        <v/>
      </c>
      <c r="K11" s="21" t="n">
        <v>2.354</v>
      </c>
      <c r="L11" s="22" t="n">
        <v>0.1768</v>
      </c>
      <c r="M11" s="22">
        <f>IFERROR(G11/D11,"")</f>
        <v/>
      </c>
      <c r="N11" s="22">
        <f>IFERROR(G11/E11,"")</f>
        <v/>
      </c>
      <c r="O11" s="13" t="n">
        <v>2366.498756813417</v>
      </c>
      <c r="P11" s="22">
        <f>IFERROR((O11-D11)/O11,"")</f>
        <v/>
      </c>
      <c r="Q11" s="23" t="n">
        <v>62</v>
      </c>
      <c r="R11" s="19" t="inlineStr">
        <is>
          <t>Menarik</t>
        </is>
      </c>
      <c r="S11" s="19" t="inlineStr">
        <is>
          <t>Buy (bertahap)</t>
        </is>
      </c>
      <c r="T11" s="24" t="n">
        <v>2080</v>
      </c>
      <c r="U11" s="22">
        <f>IFERROR(D11/T11-1,"")</f>
        <v/>
      </c>
      <c r="V11" t="n">
        <v>7.58</v>
      </c>
      <c r="W11" t="n">
        <v>0.6</v>
      </c>
      <c r="X11" t="n">
        <v>3.49</v>
      </c>
      <c r="Y11" t="inlineStr">
        <is>
          <t>1.850 - 2.000</t>
        </is>
      </c>
      <c r="Z11" t="inlineStr">
        <is>
          <t>2.000 - 2.100</t>
        </is>
      </c>
      <c r="AA11" t="inlineStr">
        <is>
          <t>2.450 / 2.900</t>
        </is>
      </c>
      <c r="AB11" t="n">
        <v>1750</v>
      </c>
      <c r="AC11" t="inlineStr">
        <is>
          <t>De-rating ekstrem: PE 11,5x vs rata-rata 5 tahun 16,3x, PB 1,52x vs 2,35x, yield 10,7%. Laba stabil, katalis divestasi NeutraDC. Beli bertahap; payout di atas 100% dan tren turun menahan rekomendasi lebih kuat.</t>
        </is>
      </c>
      <c r="AD11" t="n">
        <v>210.97</v>
      </c>
      <c r="AE11" t="n">
        <v>12.01</v>
      </c>
      <c r="AF11" t="n">
        <v>24.19</v>
      </c>
      <c r="AG11" t="n">
        <v>0.79</v>
      </c>
      <c r="AH11" t="n">
        <v>7.8</v>
      </c>
      <c r="AI11" t="n">
        <v>43300000</v>
      </c>
      <c r="AJ11" t="n">
        <v>80890000</v>
      </c>
      <c r="AK11" t="n">
        <v>134850000</v>
      </c>
      <c r="AL11" t="n">
        <v>56480000</v>
      </c>
    </row>
    <row r="12">
      <c r="A12" s="9" t="inlineStr">
        <is>
          <t>HMSP</t>
        </is>
      </c>
      <c r="B12" s="10" t="inlineStr">
        <is>
          <t>HM Sampoerna</t>
        </is>
      </c>
      <c r="C12" s="11" t="inlineStr">
        <is>
          <t>Konsumsi</t>
        </is>
      </c>
      <c r="D12" s="12" t="n">
        <v>665</v>
      </c>
      <c r="E12" s="13" t="n">
        <v>73.73</v>
      </c>
      <c r="F12" s="13" t="n">
        <v>242.9504814305365</v>
      </c>
      <c r="G12" s="13" t="n">
        <v>56.3</v>
      </c>
      <c r="H12" s="14">
        <f>IFERROR(D12/E12,"n/a")</f>
        <v/>
      </c>
      <c r="I12" s="14" t="n">
        <v>13.582</v>
      </c>
      <c r="J12" s="14">
        <f>IFERROR(D12/F12,"n/a")</f>
        <v/>
      </c>
      <c r="K12" s="14" t="n">
        <v>3.28</v>
      </c>
      <c r="L12" s="15" t="n">
        <v>0.3158</v>
      </c>
      <c r="M12" s="15">
        <f>IFERROR(G12/D12,"")</f>
        <v/>
      </c>
      <c r="N12" s="15">
        <f>IFERROR(G12/E12,"")</f>
        <v/>
      </c>
      <c r="O12" s="13" t="n">
        <v>782.7816666666666</v>
      </c>
      <c r="P12" s="15">
        <f>IFERROR((O12-D12)/O12,"")</f>
        <v/>
      </c>
      <c r="Q12" s="16" t="n">
        <v>53</v>
      </c>
      <c r="R12" s="10" t="inlineStr">
        <is>
          <t>Kurang Menarik</t>
        </is>
      </c>
      <c r="S12" s="10" t="inlineStr">
        <is>
          <t>Wait and See</t>
        </is>
      </c>
      <c r="T12" s="17" t="n">
        <v>645</v>
      </c>
      <c r="U12" s="15">
        <f>IFERROR(D12/T12-1,"")</f>
        <v/>
      </c>
      <c r="Y12" t="inlineStr">
        <is>
          <t>650 - 660</t>
        </is>
      </c>
      <c r="Z12" t="inlineStr">
        <is>
          <t>660 - 670</t>
        </is>
      </c>
      <c r="AA12" t="n">
        <v>782.7816666666666</v>
      </c>
      <c r="AB12" t="n">
        <v>640</v>
      </c>
      <c r="AC12" t="inlineStr">
        <is>
          <t>Konsumsi · skor 53 · Kurang Menarik · Wait and See</t>
        </is>
      </c>
    </row>
    <row r="13">
      <c r="A13" s="18" t="inlineStr">
        <is>
          <t>CLEO</t>
        </is>
      </c>
      <c r="B13" s="19" t="inlineStr">
        <is>
          <t>Sariguna Primatirta</t>
        </is>
      </c>
      <c r="C13" s="20" t="inlineStr">
        <is>
          <t>Konsumsi</t>
        </is>
      </c>
      <c r="D13" s="12" t="n">
        <v>382</v>
      </c>
      <c r="E13" s="13" t="n">
        <v>17.92</v>
      </c>
      <c r="F13" s="13" t="n">
        <v>107.0833333333333</v>
      </c>
      <c r="G13" s="13" t="n">
        <v>2.5</v>
      </c>
      <c r="H13" s="21">
        <f>IFERROR(D13/E13,"n/a")</f>
        <v/>
      </c>
      <c r="I13" s="21" t="n">
        <v>32.214</v>
      </c>
      <c r="J13" s="21">
        <f>IFERROR(D13/F13,"n/a")</f>
        <v/>
      </c>
      <c r="K13" s="21" t="n">
        <v>6.262</v>
      </c>
      <c r="L13" s="22" t="n">
        <v>0.1894</v>
      </c>
      <c r="M13" s="22">
        <f>IFERROR(G13/D13,"")</f>
        <v/>
      </c>
      <c r="N13" s="22">
        <f>IFERROR(G13/E13,"")</f>
        <v/>
      </c>
      <c r="O13" s="13" t="n">
        <v>478.1751666666668</v>
      </c>
      <c r="P13" s="22">
        <f>IFERROR((O13-D13)/O13,"")</f>
        <v/>
      </c>
      <c r="Q13" s="23" t="n">
        <v>50.5</v>
      </c>
      <c r="R13" s="19" t="inlineStr">
        <is>
          <t>Kurang Menarik</t>
        </is>
      </c>
      <c r="S13" s="19" t="inlineStr">
        <is>
          <t>Wait and See</t>
        </is>
      </c>
      <c r="T13" s="24" t="n">
        <v>400</v>
      </c>
      <c r="U13" s="22">
        <f>IFERROR(D13/T13-1,"")</f>
        <v/>
      </c>
      <c r="Y13" t="inlineStr">
        <is>
          <t>358 - 374</t>
        </is>
      </c>
      <c r="Z13" t="inlineStr">
        <is>
          <t>374 - 390</t>
        </is>
      </c>
      <c r="AA13" t="n">
        <v>478.1751666666668</v>
      </c>
      <c r="AB13" t="n">
        <v>350</v>
      </c>
      <c r="AC13" t="inlineStr">
        <is>
          <t>Konsumsi · skor 50.5 · Kurang Menarik · Wait and See</t>
        </is>
      </c>
    </row>
    <row r="14">
      <c r="A14" s="9" t="inlineStr">
        <is>
          <t>ADRO</t>
        </is>
      </c>
      <c r="B14" s="10" t="inlineStr">
        <is>
          <t>Alamtri Resources</t>
        </is>
      </c>
      <c r="C14" s="11" t="inlineStr">
        <is>
          <t>Batubara &amp; Energi</t>
        </is>
      </c>
      <c r="D14" s="12" t="n">
        <v>2430</v>
      </c>
      <c r="E14" s="13" t="n">
        <v>361.18</v>
      </c>
      <c r="F14" s="13" t="n">
        <v>3184.722222222222</v>
      </c>
      <c r="G14" s="13" t="n">
        <v>263.4</v>
      </c>
      <c r="H14" s="14">
        <f>IFERROR(D14/E14,"n/a")</f>
        <v/>
      </c>
      <c r="I14" s="14" t="n">
        <v>4.348000000000001</v>
      </c>
      <c r="J14" s="14">
        <f>IFERROR(D14/F14,"n/a")</f>
        <v/>
      </c>
      <c r="K14" s="14" t="n">
        <v>0.8859999999999999</v>
      </c>
      <c r="L14" s="15" t="n">
        <v>0.1234</v>
      </c>
      <c r="M14" s="15">
        <f>IFERROR(G14/D14,"")</f>
        <v/>
      </c>
      <c r="N14" s="15">
        <f>IFERROR(G14/E14,"")</f>
        <v/>
      </c>
      <c r="O14" s="13" t="n">
        <v>2472.255155555556</v>
      </c>
      <c r="P14" s="15">
        <f>IFERROR((O14-D14)/O14,"")</f>
        <v/>
      </c>
      <c r="Q14" s="16" t="n">
        <v>58.5</v>
      </c>
      <c r="R14" s="10" t="inlineStr">
        <is>
          <t>Netral</t>
        </is>
      </c>
      <c r="S14" s="10" t="inlineStr">
        <is>
          <t>Hold</t>
        </is>
      </c>
      <c r="T14" s="17" t="n">
        <v>2360</v>
      </c>
      <c r="U14" s="15">
        <f>IFERROR(D14/T14-1,"")</f>
        <v/>
      </c>
      <c r="V14" t="n">
        <v>6.01</v>
      </c>
      <c r="W14" t="n">
        <v>0.38</v>
      </c>
      <c r="X14" t="n">
        <v>4.94</v>
      </c>
      <c r="Y14" t="inlineStr">
        <is>
          <t>2.150 - 2.250</t>
        </is>
      </c>
      <c r="Z14" t="inlineStr">
        <is>
          <t>2.250 - 2.380</t>
        </is>
      </c>
      <c r="AA14" t="inlineStr">
        <is>
          <t>2.600 / 2.860</t>
        </is>
      </c>
      <c r="AB14" t="n">
        <v>2150</v>
      </c>
      <c r="AC14" t="inlineStr">
        <is>
          <t>Yield 11,2% dan buyback menarik, tetapi PE 6,5x sudah di atas rata-rata historis, FCF negatif saat dividen sekitar 100% laba, dan harga batubara di puncak siklus. Hold; tunggu koreksi ke 2.150. Posisi satelit maksimal 8%.</t>
        </is>
      </c>
      <c r="AD14" t="n">
        <v>70.84999999999999</v>
      </c>
      <c r="AE14" t="n">
        <v>28.89</v>
      </c>
      <c r="AF14" t="n">
        <v>33.9</v>
      </c>
      <c r="AG14" t="n">
        <v>2.92</v>
      </c>
      <c r="AH14" t="n">
        <v>18.39</v>
      </c>
      <c r="AI14" t="n">
        <v>-4604540</v>
      </c>
      <c r="AJ14" t="n">
        <v>34690000</v>
      </c>
      <c r="AK14" t="n">
        <v>91720000</v>
      </c>
      <c r="AL14" t="n">
        <v>28410000</v>
      </c>
    </row>
    <row r="15">
      <c r="A15" s="18" t="inlineStr">
        <is>
          <t>PTBA</t>
        </is>
      </c>
      <c r="B15" s="19" t="inlineStr">
        <is>
          <t>Bukit Asam</t>
        </is>
      </c>
      <c r="C15" s="20" t="inlineStr">
        <is>
          <t>Batubara</t>
        </is>
      </c>
      <c r="D15" s="12" t="n">
        <v>3100</v>
      </c>
      <c r="E15" s="13" t="n">
        <v>411.7</v>
      </c>
      <c r="F15" s="13" t="n">
        <v>2199.652777777778</v>
      </c>
      <c r="G15" s="13" t="n">
        <v>114.51</v>
      </c>
      <c r="H15" s="21">
        <f>IFERROR(D15/E15,"n/a")</f>
        <v/>
      </c>
      <c r="I15" s="21" t="n">
        <v>5.436</v>
      </c>
      <c r="J15" s="21">
        <f>IFERROR(D15/F15,"n/a")</f>
        <v/>
      </c>
      <c r="K15" s="21" t="n">
        <v>1.326</v>
      </c>
      <c r="L15" s="22" t="n">
        <v>0.2111</v>
      </c>
      <c r="M15" s="22">
        <f>IFERROR(G15/D15,"")</f>
        <v/>
      </c>
      <c r="N15" s="22">
        <f>IFERROR(G15/E15,"")</f>
        <v/>
      </c>
      <c r="O15" s="13" t="n">
        <v>2698.219833333334</v>
      </c>
      <c r="P15" s="22">
        <f>IFERROR((O15-D15)/O15,"")</f>
        <v/>
      </c>
      <c r="Q15" s="23" t="n">
        <v>49</v>
      </c>
      <c r="R15" s="19" t="inlineStr">
        <is>
          <t>Kurang Menarik</t>
        </is>
      </c>
      <c r="S15" s="19" t="inlineStr">
        <is>
          <t>Wait and See</t>
        </is>
      </c>
      <c r="T15" s="24" t="n">
        <v>3080</v>
      </c>
      <c r="U15" s="22">
        <f>IFERROR(D15/T15-1,"")</f>
        <v/>
      </c>
      <c r="V15" t="n">
        <v>6.78</v>
      </c>
      <c r="W15" t="n">
        <v>0.12</v>
      </c>
      <c r="X15" t="n">
        <v>4.14</v>
      </c>
      <c r="Y15" t="inlineStr">
        <is>
          <t>2.800 - 2.950</t>
        </is>
      </c>
      <c r="Z15" t="inlineStr">
        <is>
          <t>2.950 - 3.080</t>
        </is>
      </c>
      <c r="AA15" t="inlineStr">
        <is>
          <t>3.400 / 3.600</t>
        </is>
      </c>
      <c r="AB15" t="n">
        <v>2700</v>
      </c>
      <c r="AC15" t="inlineStr">
        <is>
          <t>Yield hanya 3,7%, harga naik 31% mendekati puncak 52 minggu, dan laba sangat bergantung pada harga batubara. Tidak memenuhi target passive income; tunggu koreksi. Untuk eksposur batubara, ADRO memiliki yield lebih baik.</t>
        </is>
      </c>
      <c r="AD15" t="n">
        <v>36.51</v>
      </c>
      <c r="AE15" t="n">
        <v>10.73</v>
      </c>
      <c r="AF15" t="n">
        <v>11.13</v>
      </c>
      <c r="AG15" t="n">
        <v>1.21</v>
      </c>
      <c r="AH15" t="n">
        <v>27.04</v>
      </c>
      <c r="AI15" t="n">
        <v>5540000</v>
      </c>
      <c r="AJ15" t="n">
        <v>2990000</v>
      </c>
      <c r="AK15" t="n">
        <v>25340000</v>
      </c>
      <c r="AL15" t="n">
        <v>7300000</v>
      </c>
    </row>
    <row r="16">
      <c r="A16" s="9" t="inlineStr">
        <is>
          <t>PGEO</t>
        </is>
      </c>
      <c r="B16" s="10" t="inlineStr">
        <is>
          <t>Pertamina Geothermal</t>
        </is>
      </c>
      <c r="C16" s="11" t="inlineStr">
        <is>
          <t>Energi Terbarukan</t>
        </is>
      </c>
      <c r="D16" s="12" t="n">
        <v>970</v>
      </c>
      <c r="E16" s="13" t="n">
        <v>63.17</v>
      </c>
      <c r="F16" s="13" t="n">
        <v>856.3245823389021</v>
      </c>
      <c r="G16" s="13" t="n">
        <v>49.44</v>
      </c>
      <c r="H16" s="14">
        <f>IFERROR(D16/E16,"n/a")</f>
        <v/>
      </c>
      <c r="I16" s="14" t="n">
        <v>18.22666666666667</v>
      </c>
      <c r="J16" s="14">
        <f>IFERROR(D16/F16,"n/a")</f>
        <v/>
      </c>
      <c r="K16" s="14" t="n">
        <v>1.39</v>
      </c>
      <c r="L16" s="15" t="n">
        <v>0.0751</v>
      </c>
      <c r="M16" s="15">
        <f>IFERROR(G16/D16,"")</f>
        <v/>
      </c>
      <c r="N16" s="15">
        <f>IFERROR(G16/E16,"")</f>
        <v/>
      </c>
      <c r="O16" s="13" t="n">
        <v>775.7891704999995</v>
      </c>
      <c r="P16" s="15">
        <f>IFERROR((O16-D16)/O16,"")</f>
        <v/>
      </c>
      <c r="Q16" s="16" t="n">
        <v>51.5</v>
      </c>
      <c r="R16" s="10" t="inlineStr">
        <is>
          <t>Kurang Menarik</t>
        </is>
      </c>
      <c r="S16" s="10" t="inlineStr">
        <is>
          <t>Wait and See</t>
        </is>
      </c>
      <c r="T16" s="17" t="n">
        <v>980</v>
      </c>
      <c r="U16" s="15">
        <f>IFERROR(D16/T16-1,"")</f>
        <v/>
      </c>
      <c r="V16" t="n">
        <v>4.35</v>
      </c>
      <c r="W16" t="n">
        <v>0.37</v>
      </c>
      <c r="X16" t="n">
        <v>6.9</v>
      </c>
      <c r="Y16" t="inlineStr">
        <is>
          <t>830 - 900</t>
        </is>
      </c>
      <c r="Z16" t="inlineStr">
        <is>
          <t>900 - 950</t>
        </is>
      </c>
      <c r="AA16" t="inlineStr">
        <is>
          <t>1.070 / 1.200</t>
        </is>
      </c>
      <c r="AB16" t="n">
        <v>800</v>
      </c>
      <c r="AC16" t="inlineStr">
        <is>
          <t>Bisnis bagus dan prospek jangka panjang (target 1 GW 2028), tetapi yield 5% terlalu kecil dan valuasi belum mengompensasi risiko tarif serta ketergantungan PLN. Pantau; masuk hanya di 830-900.</t>
        </is>
      </c>
      <c r="AD16" t="n">
        <v>41.06</v>
      </c>
      <c r="AE16" t="n">
        <v>32.05</v>
      </c>
      <c r="AF16" t="n">
        <v>45.19</v>
      </c>
      <c r="AG16" t="n">
        <v>4.36</v>
      </c>
      <c r="AH16" t="n">
        <v>6.78</v>
      </c>
      <c r="AI16" t="n">
        <v>4070000</v>
      </c>
      <c r="AJ16" t="n">
        <v>13260000</v>
      </c>
      <c r="AK16" t="n">
        <v>35880000</v>
      </c>
      <c r="AL16" t="n">
        <v>11750000</v>
      </c>
    </row>
    <row r="17">
      <c r="A17" s="18" t="inlineStr">
        <is>
          <t>POWR</t>
        </is>
      </c>
      <c r="B17" s="19" t="inlineStr">
        <is>
          <t>Cikarang Listrindo</t>
        </is>
      </c>
      <c r="C17" s="20" t="inlineStr">
        <is>
          <t>Listrik / IPP</t>
        </is>
      </c>
      <c r="D17" s="12" t="n">
        <v>905</v>
      </c>
      <c r="E17" s="13" t="n">
        <v>78.53</v>
      </c>
      <c r="F17" s="13" t="n">
        <v>796.2145110410095</v>
      </c>
      <c r="G17" s="13" t="n">
        <v>73.73999999999999</v>
      </c>
      <c r="H17" s="21">
        <f>IFERROR(D17/E17,"n/a")</f>
        <v/>
      </c>
      <c r="I17" s="21" t="n">
        <v>8.896000000000001</v>
      </c>
      <c r="J17" s="21">
        <f>IFERROR(D17/F17,"n/a")</f>
        <v/>
      </c>
      <c r="K17" s="21" t="n">
        <v>0.97</v>
      </c>
      <c r="L17" s="22" t="n">
        <v>0.0987</v>
      </c>
      <c r="M17" s="22">
        <f>IFERROR(G17/D17,"")</f>
        <v/>
      </c>
      <c r="N17" s="22">
        <f>IFERROR(G17/E17,"")</f>
        <v/>
      </c>
      <c r="O17" s="13" t="n">
        <v>701.2438855419564</v>
      </c>
      <c r="P17" s="22">
        <f>IFERROR((O17-D17)/O17,"")</f>
        <v/>
      </c>
      <c r="Q17" s="23" t="n">
        <v>59</v>
      </c>
      <c r="R17" s="19" t="inlineStr">
        <is>
          <t>Netral</t>
        </is>
      </c>
      <c r="S17" s="19" t="inlineStr">
        <is>
          <t>Wait and See</t>
        </is>
      </c>
      <c r="T17" s="24" t="n">
        <v>910</v>
      </c>
      <c r="U17" s="22">
        <f>IFERROR(D17/T17-1,"")</f>
        <v/>
      </c>
      <c r="V17" t="n">
        <v>5.8</v>
      </c>
      <c r="W17" t="n">
        <v>0.49</v>
      </c>
      <c r="X17" t="n">
        <v>4.83</v>
      </c>
      <c r="Y17" t="inlineStr">
        <is>
          <t>820 - 870</t>
        </is>
      </c>
      <c r="Z17" t="inlineStr">
        <is>
          <t>850 - 880</t>
        </is>
      </c>
      <c r="AA17" t="inlineStr">
        <is>
          <t>1.025 / 1.100</t>
        </is>
      </c>
      <c r="AB17" t="n">
        <v>800</v>
      </c>
      <c r="AC17" t="inlineStr">
        <is>
          <t>Bisnis membaik dan cerita data center nyata, tetapi PE 30% di atas rata-rata historis dengan pertumbuhan laba masih negatif. Yield 8,1% belum mengompensasi risiko eksekusi. Pantau; akumulasi di 820-870.</t>
        </is>
      </c>
      <c r="AD17" t="n">
        <v>14.26</v>
      </c>
      <c r="AE17" t="n">
        <v>12.49</v>
      </c>
      <c r="AF17" t="n">
        <v>19.85</v>
      </c>
      <c r="AG17" t="n">
        <v>7.11</v>
      </c>
      <c r="AH17" t="n">
        <v>5.43</v>
      </c>
      <c r="AI17" t="n">
        <v>1390000</v>
      </c>
      <c r="AJ17" t="n">
        <v>6170000</v>
      </c>
      <c r="AK17" t="n">
        <v>12620000</v>
      </c>
      <c r="AL17" t="n">
        <v>5330000</v>
      </c>
    </row>
    <row r="18">
      <c r="A18" s="9" t="inlineStr">
        <is>
          <t>IPCC</t>
        </is>
      </c>
      <c r="B18" s="10" t="inlineStr">
        <is>
          <t>Indonesia Kendaraan Terminal</t>
        </is>
      </c>
      <c r="C18" s="11" t="inlineStr">
        <is>
          <t>Pelabuhan / Logistik</t>
        </is>
      </c>
      <c r="D18" s="12" t="n">
        <v>1015</v>
      </c>
      <c r="E18" s="13" t="n">
        <v>135.26</v>
      </c>
      <c r="F18" s="13" t="n">
        <v>719.7802197802198</v>
      </c>
      <c r="G18" s="13" t="n">
        <v>112.85</v>
      </c>
      <c r="H18" s="14">
        <f>IFERROR(D18/E18,"n/a")</f>
        <v/>
      </c>
      <c r="I18" s="14" t="n">
        <v>8.934000000000001</v>
      </c>
      <c r="J18" s="14">
        <f>IFERROR(D18/F18,"n/a")</f>
        <v/>
      </c>
      <c r="K18" s="14" t="n">
        <v>1.136</v>
      </c>
      <c r="L18" s="15" t="n">
        <v>0.1912</v>
      </c>
      <c r="M18" s="15">
        <f>IFERROR(G18/D18,"")</f>
        <v/>
      </c>
      <c r="N18" s="15">
        <f>IFERROR(G18/E18,"")</f>
        <v/>
      </c>
      <c r="O18" s="13" t="n">
        <v>1075.289895167024</v>
      </c>
      <c r="P18" s="15">
        <f>IFERROR((O18-D18)/O18,"")</f>
        <v/>
      </c>
      <c r="Q18" s="16" t="n">
        <v>63.5</v>
      </c>
      <c r="R18" s="10" t="inlineStr">
        <is>
          <t>Menarik</t>
        </is>
      </c>
      <c r="S18" s="10" t="inlineStr">
        <is>
          <t>Buy (posisi kecil)</t>
        </is>
      </c>
      <c r="T18" s="17" t="n">
        <v>990</v>
      </c>
      <c r="U18" s="15">
        <f>IFERROR(D18/T18-1,"")</f>
        <v/>
      </c>
      <c r="V18" t="n">
        <v>9.75</v>
      </c>
      <c r="W18" t="n">
        <v>0.36</v>
      </c>
      <c r="X18" t="n">
        <v>3.35</v>
      </c>
      <c r="Y18" t="inlineStr">
        <is>
          <t>900 - 950</t>
        </is>
      </c>
      <c r="Z18" t="inlineStr">
        <is>
          <t>950 - 1.000</t>
        </is>
      </c>
      <c r="AA18" t="inlineStr">
        <is>
          <t>1.100 / 1.250</t>
        </is>
      </c>
      <c r="AB18" t="n">
        <v>880</v>
      </c>
      <c r="AC18" t="inlineStr">
        <is>
          <t>ROE 19,1%, neraca bersih, dividen besar dan bertumbuh (CAGR DPS 24,9%), yield 11,4%. Risiko: likuiditas tipis, tarif stagnan, tren teknikal turun. Beli posisi kecil maksimal 8%, akumulasi di 900-950.</t>
        </is>
      </c>
      <c r="AD18" t="n">
        <v>1.85</v>
      </c>
      <c r="AE18" t="n">
        <v>26.51</v>
      </c>
      <c r="AF18" t="n">
        <v>33.59</v>
      </c>
      <c r="AG18" t="n">
        <v>3.83</v>
      </c>
      <c r="AH18" t="n">
        <v>8.74</v>
      </c>
      <c r="AI18" t="n">
        <v>363750</v>
      </c>
      <c r="AJ18" t="n">
        <v>475730</v>
      </c>
      <c r="AK18" t="n">
        <v>1310000</v>
      </c>
      <c r="AL18" t="n">
        <v>1110000</v>
      </c>
    </row>
    <row r="19">
      <c r="A19" s="18" t="inlineStr">
        <is>
          <t>TUGU</t>
        </is>
      </c>
      <c r="B19" s="19" t="inlineStr">
        <is>
          <t>Asuransi Tugu Pratama</t>
        </is>
      </c>
      <c r="C19" s="20" t="inlineStr">
        <is>
          <t>Asuransi</t>
        </is>
      </c>
      <c r="D19" s="12" t="n">
        <v>1365</v>
      </c>
      <c r="E19" s="13" t="n">
        <v>258.69</v>
      </c>
      <c r="F19" s="13" t="n">
        <v>2811.797752808989</v>
      </c>
      <c r="G19" s="13" t="n">
        <v>99.98999999999999</v>
      </c>
      <c r="H19" s="21">
        <f>IFERROR(D19/E19,"n/a")</f>
        <v/>
      </c>
      <c r="I19" s="21" t="n">
        <v>7.108</v>
      </c>
      <c r="J19" s="21">
        <f>IFERROR(D19/F19,"n/a")</f>
        <v/>
      </c>
      <c r="K19" s="21" t="n">
        <v>0.358</v>
      </c>
      <c r="L19" s="22" t="n">
        <v>0.091</v>
      </c>
      <c r="M19" s="22">
        <f>IFERROR(G19/D19,"")</f>
        <v/>
      </c>
      <c r="N19" s="22">
        <f>IFERROR(G19/E19,"")</f>
        <v/>
      </c>
      <c r="O19" s="13" t="n">
        <v>1546.257553210344</v>
      </c>
      <c r="P19" s="22">
        <f>IFERROR((O19-D19)/O19,"")</f>
        <v/>
      </c>
      <c r="Q19" s="23" t="n">
        <v>65.5</v>
      </c>
      <c r="R19" s="19" t="inlineStr">
        <is>
          <t>Menarik</t>
        </is>
      </c>
      <c r="S19" s="19" t="inlineStr">
        <is>
          <t>Buy</t>
        </is>
      </c>
      <c r="T19" s="24" t="n">
        <v>1345</v>
      </c>
      <c r="U19" s="22">
        <f>IFERROR(D19/T19-1,"")</f>
        <v/>
      </c>
      <c r="V19" t="n">
        <v>1.95</v>
      </c>
      <c r="W19" t="n">
        <v>0.08</v>
      </c>
      <c r="X19" t="n">
        <v>5.07</v>
      </c>
      <c r="Y19" t="inlineStr">
        <is>
          <t>1.235 - 1.300</t>
        </is>
      </c>
      <c r="Z19" t="inlineStr">
        <is>
          <t>1.300 - 1.380</t>
        </is>
      </c>
      <c r="AA19" t="inlineStr">
        <is>
          <t>1.570 / 1.705</t>
        </is>
      </c>
      <c r="AB19" t="n">
        <v>1180</v>
      </c>
      <c r="AC19" t="inlineStr">
        <is>
          <t>Laba dan dividen tumbuh kuat (CAGR DPS 30,8%) dengan payout rendah 39%, valuasi PE 5,2x dan PB 0,48x di bawah rata-rata. Risiko: laba asuransi berayun dan ketergantungan pada Pertamina. Posisi 10-12%.</t>
        </is>
      </c>
      <c r="AD19" t="n">
        <v>4.91</v>
      </c>
      <c r="AE19" t="n">
        <v>15.99</v>
      </c>
      <c r="AF19" t="n">
        <v>16.85</v>
      </c>
      <c r="AG19" t="n">
        <v>35.07</v>
      </c>
      <c r="AH19" t="n">
        <v>13.77</v>
      </c>
      <c r="AI19" t="n">
        <v>466700</v>
      </c>
      <c r="AJ19" t="n">
        <v>837400</v>
      </c>
      <c r="AK19" t="n">
        <v>10010000</v>
      </c>
      <c r="AL19" t="n">
        <v>8230000</v>
      </c>
    </row>
    <row r="20"/>
    <row r="21">
      <c r="A21" s="25" t="inlineStr">
        <is>
          <t>Rata-rata / total portofolio</t>
        </is>
      </c>
      <c r="H21" s="26">
        <f>IFERROR(AVERAGE(H6:H19),"")</f>
        <v/>
      </c>
      <c r="J21" s="26">
        <f>IFERROR(AVERAGE(J6:J19),"")</f>
        <v/>
      </c>
      <c r="L21" s="27">
        <f>IFERROR(AVERAGE(L6:L19),"")</f>
        <v/>
      </c>
      <c r="M21" s="27">
        <f>IFERROR(AVERAGE(M6:M19),"")</f>
        <v/>
      </c>
      <c r="P21" s="27">
        <f>IFERROR(AVERAGE(P6:P19),"")</f>
        <v/>
      </c>
      <c r="Q21" s="28">
        <f>IFERROR(AVERAGE(Q6:Q19),"")</f>
        <v/>
      </c>
    </row>
    <row r="22"/>
    <row r="23">
      <c r="A23" s="7" t="inlineStr">
        <is>
          <t>Catatan: Rating, Keputusan, Skor, PER 5y, PBV 5y, dan ROE adalah penilaian analis per 21 Okt 2026 — tidak berubah otomatis saat harga di-update. Lihat sheet 'Cara Update'.</t>
        </is>
      </c>
    </row>
  </sheetData>
  <mergeCells count="2">
    <mergeCell ref="A1:T1"/>
    <mergeCell ref="A3:F3"/>
  </mergeCells>
  <conditionalFormatting sqref="P6:P19">
    <cfRule type="cellIs" priority="1" operator="greaterThan" dxfId="0">
      <formula>0.15</formula>
    </cfRule>
    <cfRule type="cellIs" priority="2" operator="lessThan" dxfId="1">
      <formula>0</formula>
    </cfRule>
  </conditionalFormatting>
  <conditionalFormatting sqref="Q6:Q19">
    <cfRule type="cellIs" priority="3" operator="greaterThanOrEqual" dxfId="2">
      <formula>59</formula>
    </cfRule>
    <cfRule type="cellIs" priority="4" operator="lessThan" dxfId="3">
      <formula>55</formula>
    </cfRule>
  </conditionalFormatting>
  <conditionalFormatting sqref="U6:U19">
    <cfRule type="cellIs" priority="5" operator="greaterThan" dxfId="4">
      <formula>0</formula>
    </cfRule>
    <cfRule type="cellIs" priority="6" operator="lessThan" dxfId="5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92" customWidth="1" min="3" max="3"/>
  </cols>
  <sheetData>
    <row r="1">
      <c r="A1" s="1" t="inlineStr">
        <is>
          <t>Cara Memperbarui Data</t>
        </is>
      </c>
    </row>
    <row r="2">
      <c r="A2" s="2" t="inlineStr">
        <is>
          <t>Dashboard ini dirancang agar pembaruan bulanan hanya butuh mengubah beberapa sel. Yang otomatis dihitung ulang: PER, PBV, Yield, Payout, MoS, dan Perubahan harga.</t>
        </is>
      </c>
    </row>
    <row r="4" ht="24" customHeight="1">
      <c r="A4" s="8" t="inlineStr">
        <is>
          <t>Bagian</t>
        </is>
      </c>
      <c r="B4" s="8" t="inlineStr">
        <is>
          <t>Otomatis?</t>
        </is>
      </c>
      <c r="C4" s="8" t="inlineStr">
        <is>
          <t>Cara memperbarui / catatan</t>
        </is>
      </c>
    </row>
    <row r="5" ht="30" customHeight="1">
      <c r="A5" s="29" t="inlineStr">
        <is>
          <t>Harga saham</t>
        </is>
      </c>
      <c r="B5" s="30" t="inlineStr">
        <is>
          <t>Ya (formula)</t>
        </is>
      </c>
      <c r="C5" s="31" t="inlineStr">
        <is>
          <t>Ubah kolom D di sheet Dashboard. PER, PBV, Yield, Payout, MoS, dan % Perubahan langsung menyesuaikan.</t>
        </is>
      </c>
    </row>
    <row r="6" ht="30" customHeight="1">
      <c r="A6" s="32" t="inlineStr">
        <is>
          <t>EPS TTM</t>
        </is>
      </c>
      <c r="B6" s="33" t="inlineStr">
        <is>
          <t>Manual</t>
        </is>
      </c>
      <c r="C6" s="34" t="inlineStr">
        <is>
          <t>Kolom E. Perbarui setelah rilis laporan keuangan (Q1/Q2/Q3/FY) dari laporan emiten atau keterbukaan BEI.</t>
        </is>
      </c>
    </row>
    <row r="7" ht="30" customHeight="1">
      <c r="A7" s="29" t="inlineStr">
        <is>
          <t>BVPS (ekuitas/saham)</t>
        </is>
      </c>
      <c r="B7" s="30" t="inlineStr">
        <is>
          <t>Manual</t>
        </is>
      </c>
      <c r="C7" s="31" t="inlineStr">
        <is>
          <t>Kolom F. Hitung dari ekuitas ÷ jumlah saham pada laporan terbaru.</t>
        </is>
      </c>
    </row>
    <row r="8" ht="30" customHeight="1">
      <c r="A8" s="32" t="inlineStr">
        <is>
          <t>DPS 12 bulan terakhir</t>
        </is>
      </c>
      <c r="B8" s="33" t="inlineStr">
        <is>
          <t>Manual</t>
        </is>
      </c>
      <c r="C8" s="34" t="inlineStr">
        <is>
          <t>Kolom G. Perbarui setelah RUPS menetapkan dividen (umumnya Mei–Juli).</t>
        </is>
      </c>
    </row>
    <row r="9" ht="30" customHeight="1">
      <c r="A9" s="29" t="inlineStr">
        <is>
          <t>Nilai wajar</t>
        </is>
      </c>
      <c r="B9" s="30" t="inlineStr">
        <is>
          <t>Manual</t>
        </is>
      </c>
      <c r="C9" s="31" t="inlineStr">
        <is>
          <t>Kolom O. Hanya berubah bila asumsi berubah (PE wajar, pertumbuhan, biaya ekuitas) — bukan karena harga bergerak.</t>
        </is>
      </c>
    </row>
    <row r="10" ht="30" customHeight="1">
      <c r="A10" s="32" t="inlineStr">
        <is>
          <t>Skor, Rating, Keputusan</t>
        </is>
      </c>
      <c r="B10" s="33" t="inlineStr">
        <is>
          <t>Tidak</t>
        </is>
      </c>
      <c r="C10" s="34" t="inlineStr">
        <is>
          <t>Penilaian analis, bukan rumus. Perlu ditinjau ulang bila harga bergerak &gt;15% atau fundamental berubah.</t>
        </is>
      </c>
    </row>
    <row r="11" ht="30" customHeight="1">
      <c r="A11" s="29" t="inlineStr">
        <is>
          <t>Simulator &amp; Proyeksi</t>
        </is>
      </c>
      <c r="B11" s="30" t="inlineStr">
        <is>
          <t>Ya</t>
        </is>
      </c>
      <c r="C11" s="31" t="inlineStr">
        <is>
          <t>Ubah sel kuning di sheet Simulator. Nilai portofolio, dividen, dan tahun target otomatis dihitung ulang.</t>
        </is>
      </c>
    </row>
    <row r="12" ht="30" customHeight="1">
      <c r="A12" s="32" t="inlineStr">
        <is>
          <t>Data Keuangan &amp; Teknikal</t>
        </is>
      </c>
      <c r="B12" s="33" t="inlineStr">
        <is>
          <t>Tidak</t>
        </is>
      </c>
      <c r="C12" s="34" t="inlineStr">
        <is>
          <t>Snapshot 21 Okt 2026. Perbarui manual dari laporan keuangan dan data harga terbaru.</t>
        </is>
      </c>
    </row>
    <row r="15">
      <c r="A15" s="35" t="inlineStr">
        <is>
          <t>LANGKAH UPDATE BULANAN</t>
        </is>
      </c>
    </row>
    <row r="16" ht="16" customHeight="1">
      <c r="A16" s="36" t="inlineStr">
        <is>
          <t>1.  Ambil harga penutupan terakhir dari broker, IDX, RTI, Stockbit, atau TradingView.</t>
        </is>
      </c>
    </row>
    <row r="17" ht="16" customHeight="1">
      <c r="A17" s="36" t="inlineStr">
        <is>
          <t>2.  Isi kolom D (Harga). Kolom T (Harga 21 Okt) dibiarkan sebagai basis pembanding perubahan.</t>
        </is>
      </c>
    </row>
    <row r="18" ht="16" customHeight="1">
      <c r="A18" s="36" t="inlineStr">
        <is>
          <t>3.  Ubah teks tanggal di baris 3 (sel A3).</t>
        </is>
      </c>
    </row>
    <row r="19" ht="16" customHeight="1">
      <c r="A19" s="36" t="inlineStr">
        <is>
          <t>4.  Setelah rilis laporan keuangan: perbarui EPS, BVPS, dan DPS. Setelah RUPS: perbarui DPS.</t>
        </is>
      </c>
    </row>
    <row r="20" ht="16" customHeight="1">
      <c r="A20" s="36" t="inlineStr">
        <is>
          <t>5.  Tinjau ulang skor/rating secara manual — terutama jika MoS berubah melewati ±20%.</t>
        </is>
      </c>
    </row>
    <row r="23">
      <c r="A23" s="35" t="inlineStr">
        <is>
          <t>OPSI OTOMATIS DARI INTERNET</t>
        </is>
      </c>
    </row>
    <row r="24" ht="46" customHeight="1">
      <c r="A24" s="37" t="inlineStr">
        <is>
          <t>Excel (Power Query)</t>
        </is>
      </c>
      <c r="B24" s="36" t="inlineStr">
        <is>
          <t>Bisa menarik tabel dari web (Data &gt; Dapatkan Data &gt; Dari Web), tetapi IDX dan Yahoo Finance tidak menyediakan endpoint publik gratis yang stabil. Hasilnya sering gagal atau berubah format — tidak saya rekomendasikan untuk mengandalkan update otomatis penuh.</t>
        </is>
      </c>
    </row>
    <row r="25" ht="46" customHeight="1">
      <c r="A25" s="37" t="inlineStr">
        <is>
          <t>Google Sheets</t>
        </is>
      </c>
      <c r="B25" s="36" t="inlineStr">
        <is>
          <t>Mendukung harga otomatis lewat GOOGLEFINANCE. Impor file ini ke Google Drive, lalu di sheet Dashboard ganti kolom D dengan formula (pemisah argumen bisa koma atau titik koma tergantung locale):</t>
        </is>
      </c>
    </row>
    <row r="26">
      <c r="B26" s="38" t="inlineStr">
        <is>
          <t>=GOOGLEFINANCE("IDX:BJBR","price")</t>
        </is>
      </c>
    </row>
    <row r="27">
      <c r="B27" s="38" t="inlineStr">
        <is>
          <t>=GOOGLEFINANCE("IDX:BJBR","closeyest")</t>
        </is>
      </c>
    </row>
    <row r="29" ht="28" customHeight="1">
      <c r="A29" s="39" t="inlineStr">
        <is>
          <t>Batasan: GOOGLEFINANCE hanya menyediakan harga (dan sebagian data pasar). EPS, BVPS, DPS, dan nilai wajar tetap harus diperbarui manual — jadi otomatisasi penuh tidak mungkin tanpa langganan data.</t>
        </is>
      </c>
    </row>
    <row r="31">
      <c r="A31" s="35" t="inlineStr">
        <is>
          <t>TOMBOL REFRESH HARGA (MAKRO VBA)</t>
        </is>
      </c>
    </row>
    <row r="32" ht="16" customHeight="1">
      <c r="A32" s="36" t="inlineStr">
        <is>
          <t>1.  Simpan workbook ini sebagai file .xlsm: File &gt; Save As &gt; pilih 'Excel Macro-Enabled Workbook (*.xlsm)'.</t>
        </is>
      </c>
    </row>
    <row r="33" ht="16" customHeight="1">
      <c r="A33" s="36" t="inlineStr">
        <is>
          <t>2.  Tekan Alt+F11 (membuka editor VBA), lalu File &gt; Import File &gt; pilih 'RefreshHarga.bas'.</t>
        </is>
      </c>
    </row>
    <row r="34" ht="16" customHeight="1">
      <c r="A34" s="36" t="inlineStr">
        <is>
          <t>3.  Tekan Alt+F8, pilih 'PasangTombol', klik Run. Tombol 'Refresh Harga' muncul di sheet Dashboard (pojok kanan atas).</t>
        </is>
      </c>
    </row>
    <row r="35" ht="16" customHeight="1">
      <c r="A35" s="36" t="inlineStr">
        <is>
          <t>4.  Klik tombol itu kapan pun. Harga terisi, tanggal diperbarui, dan seluruh rasio menghitung ulang otomatis.</t>
        </is>
      </c>
    </row>
    <row r="36" ht="16" customHeight="1">
      <c r="A36" s="36" t="inlineStr">
        <is>
          <t>5.  Jika Excel memblokir makro: File &gt; Options &gt; Trust Center &gt; Macro Settings &gt; pilih 'Enable VBA macros'.</t>
        </is>
      </c>
    </row>
    <row r="38" ht="28" customHeight="1">
      <c r="A38" s="39" t="inlineStr">
        <is>
          <t>Catatan: tombol tidak bisa ditanam ke file .xlsx biasa — Excel hanya menjalankan makro dari .xlsm. Sumber harga: Yahoo Finance, dapat delayed 15–20 menit. Bila pengambilan gagal, harga lama tidak diubah.</t>
        </is>
      </c>
    </row>
    <row r="40">
      <c r="A40" t="inlineStr">
        <is>
          <t>VERSI_TEMPLATE</t>
        </is>
      </c>
      <c r="B40" t="inlineStr">
        <is>
          <t>2.0</t>
        </is>
      </c>
      <c r="C40" t="inlineStr">
        <is>
          <t>Template dengan Data Keuangan tidy + Ringkasan 5 Tahun.</t>
        </is>
      </c>
    </row>
    <row r="41">
      <c r="A41" t="inlineStr">
        <is>
          <t>Data Keuangan</t>
        </is>
      </c>
      <c r="B41" t="inlineStr">
        <is>
          <t>Tabel tidy</t>
        </is>
      </c>
      <c r="C41" t="inlineStr">
        <is>
          <t>Satu baris per emiten-tahun; lihat sheet Data Keuangan.</t>
        </is>
      </c>
    </row>
    <row r="42">
      <c r="A42" t="inlineStr">
        <is>
          <t>ROA / DER / EV</t>
        </is>
      </c>
      <c r="B42" t="inlineStr">
        <is>
          <t>Otomatis</t>
        </is>
      </c>
      <c r="C42" t="inlineStr">
        <is>
          <t>Dihitung dari total aset/ekuitas/utang/EBITDA jika tersedia.</t>
        </is>
      </c>
    </row>
    <row r="43">
      <c r="A43" t="inlineStr">
        <is>
          <t>Skor faktor</t>
        </is>
      </c>
      <c r="B43" t="inlineStr">
        <is>
          <t>Manual</t>
        </is>
      </c>
      <c r="C43" t="inlineStr">
        <is>
          <t>Sheet Skor; 0–10 per faktor. Total 0–100 dari Dashboard.</t>
        </is>
      </c>
    </row>
    <row r="44">
      <c r="A44" t="inlineStr">
        <is>
          <t>Historik harga</t>
        </is>
      </c>
      <c r="B44" t="inlineStr">
        <is>
          <t>Manual</t>
        </is>
      </c>
      <c r="C44" t="inlineStr">
        <is>
          <t>Sheet Historik; minimal 10 minggu per saham.</t>
        </is>
      </c>
    </row>
  </sheetData>
  <mergeCells count="16">
    <mergeCell ref="B24:C24"/>
    <mergeCell ref="A19:C19"/>
    <mergeCell ref="A33:C33"/>
    <mergeCell ref="A36:C36"/>
    <mergeCell ref="A1:C1"/>
    <mergeCell ref="B25:C25"/>
    <mergeCell ref="A32:C32"/>
    <mergeCell ref="A2:C2"/>
    <mergeCell ref="A17:C17"/>
    <mergeCell ref="A18:C18"/>
    <mergeCell ref="A34:C34"/>
    <mergeCell ref="A35:C35"/>
    <mergeCell ref="A20:C20"/>
    <mergeCell ref="A38:C38"/>
    <mergeCell ref="A16:C16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9" customWidth="1" min="4" max="4"/>
    <col width="11" customWidth="1" min="5" max="5"/>
    <col width="8" customWidth="1" min="6" max="6"/>
    <col width="2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Valuasi, Nilai Wajar, dan Skenario Harga</t>
        </is>
      </c>
    </row>
    <row r="2">
      <c r="A2" s="2" t="inlineStr">
        <is>
          <t>Harga, EPS, dan MoS terhubung ke sheet Dashboard. Angka skenario adalah snapshot model 21 Okt 2026 — tidak berubah otomatis bila harga di-update.</t>
        </is>
      </c>
    </row>
    <row r="4" ht="30" customHeight="1">
      <c r="A4" s="8" t="inlineStr">
        <is>
          <t>Kode</t>
        </is>
      </c>
      <c r="B4" s="8" t="inlineStr">
        <is>
          <t>Harga</t>
        </is>
      </c>
      <c r="C4" s="8" t="inlineStr">
        <is>
          <t>EPS TTM</t>
        </is>
      </c>
      <c r="D4" s="8" t="inlineStr">
        <is>
          <t>PE wajar</t>
        </is>
      </c>
      <c r="E4" s="8" t="inlineStr">
        <is>
          <t>Nilai Wajar</t>
        </is>
      </c>
      <c r="F4" s="8" t="inlineStr">
        <is>
          <t>MoS</t>
        </is>
      </c>
      <c r="G4" s="8" t="inlineStr">
        <is>
          <t>Metode</t>
        </is>
      </c>
      <c r="H4" s="8" t="inlineStr">
        <is>
          <t>Bull 1y</t>
        </is>
      </c>
      <c r="I4" s="8" t="inlineStr">
        <is>
          <t>Bull 3y</t>
        </is>
      </c>
      <c r="J4" s="8" t="inlineStr">
        <is>
          <t>Bull 5y</t>
        </is>
      </c>
      <c r="K4" s="8" t="inlineStr">
        <is>
          <t>Base 1y</t>
        </is>
      </c>
      <c r="L4" s="8" t="inlineStr">
        <is>
          <t>Base 3y</t>
        </is>
      </c>
      <c r="M4" s="8" t="inlineStr">
        <is>
          <t>Base 5y</t>
        </is>
      </c>
      <c r="N4" s="8" t="inlineStr">
        <is>
          <t>Bear 1y</t>
        </is>
      </c>
      <c r="O4" s="8" t="inlineStr">
        <is>
          <t>Bear 3y</t>
        </is>
      </c>
      <c r="P4" s="8" t="inlineStr">
        <is>
          <t>Bear 5y</t>
        </is>
      </c>
      <c r="Q4" s="8" t="inlineStr">
        <is>
          <t>Upside base 1y</t>
        </is>
      </c>
      <c r="S4" s="69" t="inlineStr">
        <is>
          <t>DDM</t>
        </is>
      </c>
      <c r="T4" s="69" t="inlineStr">
        <is>
          <t>PB Wajar</t>
        </is>
      </c>
      <c r="U4" s="69" t="inlineStr">
        <is>
          <t>FV Low</t>
        </is>
      </c>
      <c r="V4" s="69" t="inlineStr">
        <is>
          <t>FV High</t>
        </is>
      </c>
      <c r="W4" s="69" t="inlineStr">
        <is>
          <t>DDM Low</t>
        </is>
      </c>
      <c r="X4" s="69" t="inlineStr">
        <is>
          <t>DDM High</t>
        </is>
      </c>
    </row>
    <row r="5">
      <c r="A5" s="40" t="inlineStr">
        <is>
          <t>BMRI</t>
        </is>
      </c>
      <c r="B5" s="41">
        <f>'Dashboard'!D6</f>
        <v/>
      </c>
      <c r="C5" s="41">
        <f>'Dashboard'!E6</f>
        <v/>
      </c>
      <c r="D5" s="42" t="n">
        <v>9</v>
      </c>
      <c r="E5" s="41" t="n">
        <v>6174.412366613093</v>
      </c>
      <c r="F5" s="43">
        <f>'Dashboard'!P6</f>
        <v/>
      </c>
      <c r="G5" s="44" t="inlineStr">
        <is>
          <t>60% PB + 40% DDM</t>
        </is>
      </c>
      <c r="H5" s="41" t="n">
        <v>5838.42546</v>
      </c>
      <c r="I5" s="41" t="n">
        <v>8958.944513088001</v>
      </c>
      <c r="J5" s="41" t="n">
        <v>10449.71288006585</v>
      </c>
      <c r="K5" s="41" t="n">
        <v>5189.236500000001</v>
      </c>
      <c r="L5" s="41" t="n">
        <v>7159.053982500001</v>
      </c>
      <c r="M5" s="41" t="n">
        <v>7892.857015706252</v>
      </c>
      <c r="N5" s="41" t="n">
        <v>3894.05627</v>
      </c>
      <c r="O5" s="41" t="n">
        <v>3950.944988886</v>
      </c>
      <c r="P5" s="41" t="n">
        <v>3717.444140042836</v>
      </c>
      <c r="Q5" s="43">
        <f>K5/B5-1</f>
        <v/>
      </c>
      <c r="S5" t="n">
        <v>4678.750476190476</v>
      </c>
      <c r="T5" t="n">
        <v>1.611851851851852</v>
      </c>
      <c r="U5" t="n">
        <v>3717.444140042836</v>
      </c>
      <c r="V5" t="n">
        <v>10449.71288006585</v>
      </c>
      <c r="W5" t="n">
        <v>3976.937904761904</v>
      </c>
      <c r="X5" t="n">
        <v>5380.563047619046</v>
      </c>
    </row>
    <row r="6">
      <c r="A6" s="40" t="inlineStr">
        <is>
          <t>BBRI</t>
        </is>
      </c>
      <c r="B6" s="41">
        <f>'Dashboard'!D7</f>
        <v/>
      </c>
      <c r="C6" s="41">
        <f>'Dashboard'!E7</f>
        <v/>
      </c>
      <c r="D6" s="42" t="n">
        <v>8.5</v>
      </c>
      <c r="E6" s="41" t="n">
        <v>3327.150753377009</v>
      </c>
      <c r="F6" s="43">
        <f>'Dashboard'!P7</f>
        <v/>
      </c>
      <c r="G6" s="44" t="inlineStr">
        <is>
          <t>60% PB + 40% DDM</t>
        </is>
      </c>
      <c r="H6" s="41" t="n">
        <v>3663.902025</v>
      </c>
      <c r="I6" s="41" t="n">
        <v>5007.35992392</v>
      </c>
      <c r="J6" s="41" t="n">
        <v>5840.584615260289</v>
      </c>
      <c r="K6" s="41" t="n">
        <v>3289.925625</v>
      </c>
      <c r="L6" s="41" t="n">
        <v>4001.359753125</v>
      </c>
      <c r="M6" s="41" t="n">
        <v>4411.499127820314</v>
      </c>
      <c r="N6" s="41" t="n">
        <v>2536.3402375</v>
      </c>
      <c r="O6" s="41" t="n">
        <v>2208.2739289275</v>
      </c>
      <c r="P6" s="41" t="n">
        <v>2077.764939727884</v>
      </c>
      <c r="Q6" s="43">
        <f>K6/B6-1</f>
        <v/>
      </c>
      <c r="S6" t="n">
        <v>3394.095238095238</v>
      </c>
      <c r="T6" t="n">
        <v>1.406666666666667</v>
      </c>
      <c r="U6" t="n">
        <v>2077.764939727884</v>
      </c>
      <c r="V6" t="n">
        <v>5840.584615260289</v>
      </c>
      <c r="W6" t="n">
        <v>2884.980952380952</v>
      </c>
      <c r="X6" t="n">
        <v>3903.209523809523</v>
      </c>
    </row>
    <row r="7">
      <c r="A7" s="40" t="inlineStr">
        <is>
          <t>BBCA</t>
        </is>
      </c>
      <c r="B7" s="41">
        <f>'Dashboard'!D8</f>
        <v/>
      </c>
      <c r="C7" s="41">
        <f>'Dashboard'!E8</f>
        <v/>
      </c>
      <c r="D7" s="42" t="n">
        <v>9</v>
      </c>
      <c r="E7" s="41" t="n">
        <v>4162.072847492185</v>
      </c>
      <c r="F7" s="43">
        <f>'Dashboard'!P8</f>
        <v/>
      </c>
      <c r="G7" s="44" t="inlineStr">
        <is>
          <t>60% PB + 40% DDM</t>
        </is>
      </c>
      <c r="H7" s="41" t="n">
        <v>5596.19843</v>
      </c>
      <c r="I7" s="41" t="n">
        <v>6466.408734366001</v>
      </c>
      <c r="J7" s="41" t="n">
        <v>7682.740217300247</v>
      </c>
      <c r="K7" s="41" t="n">
        <v>5096.988800000001</v>
      </c>
      <c r="L7" s="41" t="n">
        <v>5171.34383136</v>
      </c>
      <c r="M7" s="41" t="n">
        <v>5810.521928916098</v>
      </c>
      <c r="N7" s="41" t="n">
        <v>4074.04228</v>
      </c>
      <c r="O7" s="41" t="n">
        <v>2860.632611424</v>
      </c>
      <c r="P7" s="41" t="n">
        <v>2747.351560011609</v>
      </c>
      <c r="Q7" s="43">
        <f>K7/B7-1</f>
        <v/>
      </c>
      <c r="S7" t="n">
        <v>3737.428571428571</v>
      </c>
      <c r="T7" t="n">
        <v>1.57037037037037</v>
      </c>
      <c r="U7" t="n">
        <v>2747.351560011609</v>
      </c>
      <c r="V7" t="n">
        <v>7682.740217300247</v>
      </c>
      <c r="W7" t="n">
        <v>3176.814285714285</v>
      </c>
      <c r="X7" t="n">
        <v>4298.042857142857</v>
      </c>
    </row>
    <row r="8">
      <c r="A8" s="40" t="inlineStr">
        <is>
          <t>BJBR</t>
        </is>
      </c>
      <c r="B8" s="41">
        <f>'Dashboard'!D9</f>
        <v/>
      </c>
      <c r="C8" s="41">
        <f>'Dashboard'!E9</f>
        <v/>
      </c>
      <c r="D8" s="42" t="n">
        <v>6</v>
      </c>
      <c r="E8" s="41" t="n">
        <v>1040.374330580753</v>
      </c>
      <c r="F8" s="43">
        <f>'Dashboard'!P9</f>
        <v/>
      </c>
      <c r="G8" s="44" t="inlineStr">
        <is>
          <t>60% PB + 40% DDM</t>
        </is>
      </c>
      <c r="H8" s="41" t="n">
        <v>897.0091199999999</v>
      </c>
      <c r="I8" s="41" t="n">
        <v>1191.848795136</v>
      </c>
      <c r="J8" s="41" t="n">
        <v>1390.172434646631</v>
      </c>
      <c r="K8" s="41" t="n">
        <v>799.6144</v>
      </c>
      <c r="L8" s="41" t="n">
        <v>925.4481100800001</v>
      </c>
      <c r="M8" s="41" t="n">
        <v>1000.964675862528</v>
      </c>
      <c r="N8" s="41" t="n">
        <v>619.6339199999999</v>
      </c>
      <c r="O8" s="41" t="n">
        <v>509.5230013439999</v>
      </c>
      <c r="P8" s="41" t="n">
        <v>469.5763980386303</v>
      </c>
      <c r="Q8" s="43">
        <f>K8/B8-1</f>
        <v/>
      </c>
      <c r="S8" t="n">
        <v>888.11</v>
      </c>
      <c r="T8" t="n">
        <v>0.608</v>
      </c>
      <c r="U8" t="n">
        <v>771.98</v>
      </c>
      <c r="V8" t="n">
        <v>1165.22</v>
      </c>
      <c r="W8" t="n">
        <v>771.98</v>
      </c>
      <c r="X8" t="n">
        <v>1045.36</v>
      </c>
    </row>
    <row r="9">
      <c r="A9" s="40" t="inlineStr">
        <is>
          <t>BJTM</t>
        </is>
      </c>
      <c r="B9" s="41">
        <f>'Dashboard'!D10</f>
        <v/>
      </c>
      <c r="C9" s="41">
        <f>'Dashboard'!E10</f>
        <v/>
      </c>
      <c r="D9" s="42" t="n">
        <v>6</v>
      </c>
      <c r="E9" s="41" t="n">
        <v>966.2608534713324</v>
      </c>
      <c r="F9" s="43">
        <f>'Dashboard'!P10</f>
        <v/>
      </c>
      <c r="G9" s="44" t="inlineStr">
        <is>
          <t>60% PB + 40% DDM</t>
        </is>
      </c>
      <c r="H9" s="41" t="n">
        <v>663.85578</v>
      </c>
      <c r="I9" s="41" t="n">
        <v>932.5296624360002</v>
      </c>
      <c r="J9" s="41" t="n">
        <v>1107.938491940212</v>
      </c>
      <c r="K9" s="41" t="n">
        <v>590.184</v>
      </c>
      <c r="L9" s="41" t="n">
        <v>724.85847</v>
      </c>
      <c r="M9" s="41" t="n">
        <v>799.1564631750002</v>
      </c>
      <c r="N9" s="41" t="n">
        <v>454.1113199999999</v>
      </c>
      <c r="O9" s="41" t="n">
        <v>400.0355279759999</v>
      </c>
      <c r="P9" s="41" t="n">
        <v>376.3934282726183</v>
      </c>
      <c r="Q9" s="43">
        <f>K9/B9-1</f>
        <v/>
      </c>
      <c r="S9" t="n">
        <v>713.51</v>
      </c>
      <c r="T9" t="n">
        <v>0.788</v>
      </c>
      <c r="U9" t="n">
        <v>604.8</v>
      </c>
      <c r="V9" t="n">
        <v>1082.21</v>
      </c>
      <c r="W9" t="n">
        <v>604.8</v>
      </c>
      <c r="X9" t="n">
        <v>869.88</v>
      </c>
    </row>
    <row r="10">
      <c r="A10" s="40" t="inlineStr">
        <is>
          <t>TLKM</t>
        </is>
      </c>
      <c r="B10" s="41">
        <f>'Dashboard'!D11</f>
        <v/>
      </c>
      <c r="C10" s="41">
        <f>'Dashboard'!E11</f>
        <v/>
      </c>
      <c r="D10" s="42" t="n">
        <v>14</v>
      </c>
      <c r="E10" s="41" t="n">
        <v>2366.498756813417</v>
      </c>
      <c r="F10" s="43">
        <f>'Dashboard'!P11</f>
        <v/>
      </c>
      <c r="G10" s="44" t="inlineStr">
        <is>
          <t>45% PE + 35% DDM + 20% PB</t>
        </is>
      </c>
      <c r="H10" s="41" t="n">
        <v>2651.73681</v>
      </c>
      <c r="I10" s="41" t="n">
        <v>3481.669679432</v>
      </c>
      <c r="J10" s="41" t="n">
        <v>3912.004051809795</v>
      </c>
      <c r="K10" s="41" t="n">
        <v>2357.2098</v>
      </c>
      <c r="L10" s="41" t="n">
        <v>2697.56951184</v>
      </c>
      <c r="M10" s="41" t="n">
        <v>2806.551320118336</v>
      </c>
      <c r="N10" s="41" t="n">
        <v>1813.91142</v>
      </c>
      <c r="O10" s="41" t="n">
        <v>1477.929541424</v>
      </c>
      <c r="P10" s="41" t="n">
        <v>1305.898542802246</v>
      </c>
      <c r="Q10" s="43">
        <f>K10/B10-1</f>
        <v/>
      </c>
      <c r="S10" t="n">
        <v>1653.11</v>
      </c>
      <c r="U10" t="n">
        <v>1487.8</v>
      </c>
      <c r="V10" t="n">
        <v>2650.48</v>
      </c>
      <c r="W10" t="n">
        <v>1487.8</v>
      </c>
      <c r="X10" t="n">
        <v>1859.75</v>
      </c>
    </row>
    <row r="11">
      <c r="A11" s="40" t="inlineStr">
        <is>
          <t>HMSP</t>
        </is>
      </c>
      <c r="B11" s="41">
        <f>'Dashboard'!D12</f>
        <v/>
      </c>
      <c r="C11" s="41">
        <f>'Dashboard'!E12</f>
        <v/>
      </c>
      <c r="D11" s="42" t="n">
        <v>10.5</v>
      </c>
      <c r="E11" s="41" t="n">
        <v>782.7816666666666</v>
      </c>
      <c r="F11" s="43">
        <f>'Dashboard'!P12</f>
        <v/>
      </c>
      <c r="G11" s="44" t="inlineStr">
        <is>
          <t>60% PE + 40% DDM</t>
        </is>
      </c>
      <c r="H11" s="41" t="n">
        <v>790.6742212499998</v>
      </c>
      <c r="I11" s="41" t="n">
        <v>972.84364764825</v>
      </c>
      <c r="J11" s="41" t="n">
        <v>1032.089825790028</v>
      </c>
      <c r="K11" s="41" t="n">
        <v>709.5825000000001</v>
      </c>
      <c r="L11" s="41" t="n">
        <v>774.1650000000001</v>
      </c>
      <c r="M11" s="41" t="n">
        <v>774.1650000000001</v>
      </c>
      <c r="N11" s="41" t="n">
        <v>557.850285</v>
      </c>
      <c r="O11" s="41" t="n">
        <v>450.106343652</v>
      </c>
      <c r="P11" s="41" t="n">
        <v>397.7139652509071</v>
      </c>
      <c r="Q11" s="43">
        <f>K11/B11-1</f>
        <v/>
      </c>
      <c r="S11" t="n">
        <v>552.2761904761904</v>
      </c>
      <c r="T11" t="n">
        <v>2.339259259259259</v>
      </c>
      <c r="U11" t="n">
        <v>397.7139652509071</v>
      </c>
      <c r="V11" t="n">
        <v>1032.089825790028</v>
      </c>
      <c r="W11" t="n">
        <v>469.4347619047618</v>
      </c>
      <c r="X11" t="n">
        <v>635.117619047619</v>
      </c>
    </row>
    <row r="12">
      <c r="A12" s="40" t="inlineStr">
        <is>
          <t>CLEO</t>
        </is>
      </c>
      <c r="B12" s="41">
        <f>'Dashboard'!D13</f>
        <v/>
      </c>
      <c r="C12" s="41">
        <f>'Dashboard'!E13</f>
        <v/>
      </c>
      <c r="D12" s="42" t="n">
        <v>24</v>
      </c>
      <c r="E12" s="41" t="n">
        <v>478.1751666666668</v>
      </c>
      <c r="F12" s="43">
        <f>'Dashboard'!P13</f>
        <v/>
      </c>
      <c r="G12" s="44" t="inlineStr">
        <is>
          <t>80% PE + 20% PB</t>
        </is>
      </c>
      <c r="H12" s="41" t="n">
        <v>492.0256</v>
      </c>
      <c r="I12" s="41" t="n">
        <v>658.3019520000001</v>
      </c>
      <c r="J12" s="41" t="n">
        <v>796.5453619200003</v>
      </c>
      <c r="K12" s="41" t="n">
        <v>439.9424000000001</v>
      </c>
      <c r="L12" s="41" t="n">
        <v>512.23216128</v>
      </c>
      <c r="M12" s="41" t="n">
        <v>575.5440564142082</v>
      </c>
      <c r="N12" s="41" t="n">
        <v>343.51744</v>
      </c>
      <c r="O12" s="41" t="n">
        <v>283.3514987519999</v>
      </c>
      <c r="P12" s="41" t="n">
        <v>272.1307794014208</v>
      </c>
      <c r="Q12" s="43">
        <f>K12/B12-1</f>
        <v/>
      </c>
      <c r="S12" t="n">
        <v>24.52380952380952</v>
      </c>
      <c r="T12" t="n">
        <v>1.402962962962963</v>
      </c>
      <c r="U12" t="n">
        <v>272.1307794014208</v>
      </c>
      <c r="V12" t="n">
        <v>796.5453619200003</v>
      </c>
      <c r="W12" t="n">
        <v>20.84523809523809</v>
      </c>
      <c r="X12" t="n">
        <v>28.20238095238095</v>
      </c>
    </row>
    <row r="13">
      <c r="A13" s="40" t="inlineStr">
        <is>
          <t>ADRO</t>
        </is>
      </c>
      <c r="B13" s="41">
        <f>'Dashboard'!D14</f>
        <v/>
      </c>
      <c r="C13" s="41">
        <f>'Dashboard'!E14</f>
        <v/>
      </c>
      <c r="D13" s="42" t="n">
        <v>6.2</v>
      </c>
      <c r="E13" s="41" t="n">
        <v>2472.255155555556</v>
      </c>
      <c r="F13" s="43">
        <f>'Dashboard'!P14</f>
        <v/>
      </c>
      <c r="G13" s="44" t="inlineStr">
        <is>
          <t>60% PE + 40% PB</t>
        </is>
      </c>
      <c r="H13" s="41" t="n">
        <v>2615.663102</v>
      </c>
      <c r="I13" s="41" t="n">
        <v>3067.1203628144</v>
      </c>
      <c r="J13" s="41" t="n">
        <v>3446.21643965826</v>
      </c>
      <c r="K13" s="41" t="n">
        <v>2253.66484</v>
      </c>
      <c r="L13" s="41" t="n">
        <v>2107.626304672</v>
      </c>
      <c r="M13" s="41" t="n">
        <v>2024.164303006989</v>
      </c>
      <c r="N13" s="41" t="n">
        <v>1728.109328</v>
      </c>
      <c r="O13" s="41" t="n">
        <v>1068.2218072064</v>
      </c>
      <c r="P13" s="41" t="n">
        <v>827.2309675006361</v>
      </c>
      <c r="Q13" s="43">
        <f>K13/B13-1</f>
        <v/>
      </c>
      <c r="S13" t="n">
        <v>2679.32</v>
      </c>
      <c r="U13" t="n">
        <v>2175.58</v>
      </c>
      <c r="V13" t="n">
        <v>3143.45</v>
      </c>
      <c r="W13" t="n">
        <v>2334.62</v>
      </c>
      <c r="X13" t="n">
        <v>3143.45</v>
      </c>
    </row>
    <row r="14">
      <c r="A14" s="40" t="inlineStr">
        <is>
          <t>PTBA</t>
        </is>
      </c>
      <c r="B14" s="41">
        <f>'Dashboard'!D15</f>
        <v/>
      </c>
      <c r="C14" s="41">
        <f>'Dashboard'!E15</f>
        <v/>
      </c>
      <c r="D14" s="42" t="n">
        <v>6.2</v>
      </c>
      <c r="E14" s="41" t="n">
        <v>2698.219833333334</v>
      </c>
      <c r="F14" s="43">
        <f>'Dashboard'!P15</f>
        <v/>
      </c>
      <c r="G14" s="44" t="inlineStr">
        <is>
          <t>60% PE + 40% PB</t>
        </is>
      </c>
      <c r="H14" s="41" t="n">
        <v>3158.096025</v>
      </c>
      <c r="I14" s="41" t="n">
        <v>3398.116735125</v>
      </c>
      <c r="J14" s="41" t="n">
        <v>3746.423700475314</v>
      </c>
      <c r="K14" s="41" t="n">
        <v>2731.7819</v>
      </c>
      <c r="L14" s="41" t="n">
        <v>2329.63433942</v>
      </c>
      <c r="M14" s="41" t="n">
        <v>2191.952949960278</v>
      </c>
      <c r="N14" s="41" t="n">
        <v>2141.38232</v>
      </c>
      <c r="O14" s="41" t="n">
        <v>1217.639177216</v>
      </c>
      <c r="P14" s="41" t="n">
        <v>942.9397788360703</v>
      </c>
      <c r="Q14" s="43">
        <f>K14/B14-1</f>
        <v/>
      </c>
      <c r="S14" t="n">
        <v>1618.41</v>
      </c>
      <c r="U14" t="n">
        <v>1348.67</v>
      </c>
      <c r="V14" t="n">
        <v>3022.01</v>
      </c>
      <c r="W14" t="n">
        <v>1348.67</v>
      </c>
      <c r="X14" t="n">
        <v>2023.01</v>
      </c>
    </row>
    <row r="15">
      <c r="A15" s="40" t="inlineStr">
        <is>
          <t>PGEO</t>
        </is>
      </c>
      <c r="B15" s="41">
        <f>'Dashboard'!D16</f>
        <v/>
      </c>
      <c r="C15" s="41">
        <f>'Dashboard'!E16</f>
        <v/>
      </c>
      <c r="D15" s="42" t="n">
        <v>16</v>
      </c>
      <c r="E15" s="41" t="n">
        <v>775.7891704999995</v>
      </c>
      <c r="F15" s="43">
        <f>'Dashboard'!P16</f>
        <v/>
      </c>
      <c r="G15" s="44" t="inlineStr">
        <is>
          <t>60% PE + 40% DDM</t>
        </is>
      </c>
      <c r="H15" s="41" t="n">
        <v>1178.2804</v>
      </c>
      <c r="I15" s="41" t="n">
        <v>1547.058568</v>
      </c>
      <c r="J15" s="41" t="n">
        <v>1871.94086728</v>
      </c>
      <c r="K15" s="41" t="n">
        <v>1055.0816</v>
      </c>
      <c r="L15" s="41" t="n">
        <v>1203.78369152</v>
      </c>
      <c r="M15" s="41" t="n">
        <v>1352.571355791872</v>
      </c>
      <c r="N15" s="41" t="n">
        <v>843.752</v>
      </c>
      <c r="O15" s="41" t="n">
        <v>707.504</v>
      </c>
      <c r="P15" s="41" t="n">
        <v>707.504</v>
      </c>
      <c r="Q15" s="43">
        <f>K15/B15-1</f>
        <v/>
      </c>
      <c r="S15" t="n">
        <v>423.39</v>
      </c>
      <c r="U15" t="n">
        <v>375.88</v>
      </c>
      <c r="V15" t="n">
        <v>868.88</v>
      </c>
      <c r="W15" t="n">
        <v>375.88</v>
      </c>
      <c r="X15" t="n">
        <v>484.65</v>
      </c>
    </row>
    <row r="16">
      <c r="A16" s="40" t="inlineStr">
        <is>
          <t>POWR</t>
        </is>
      </c>
      <c r="B16" s="41">
        <f>'Dashboard'!D17</f>
        <v/>
      </c>
      <c r="C16" s="41">
        <f>'Dashboard'!E17</f>
        <v/>
      </c>
      <c r="D16" s="42" t="n">
        <v>10</v>
      </c>
      <c r="E16" s="41" t="n">
        <v>701.2438855419564</v>
      </c>
      <c r="F16" s="43">
        <f>'Dashboard'!P17</f>
        <v/>
      </c>
      <c r="G16" s="44" t="inlineStr">
        <is>
          <t>60% PE + 40% DDM</t>
        </is>
      </c>
      <c r="H16" s="41" t="n">
        <v>970.0058250000001</v>
      </c>
      <c r="I16" s="41" t="n">
        <v>1106.330208085</v>
      </c>
      <c r="J16" s="41" t="n">
        <v>1266.637455236517</v>
      </c>
      <c r="K16" s="41" t="n">
        <v>873.0795000000001</v>
      </c>
      <c r="L16" s="41" t="n">
        <v>858.1185131</v>
      </c>
      <c r="M16" s="41" t="n">
        <v>910.37793054779</v>
      </c>
      <c r="N16" s="41" t="n">
        <v>700.6608</v>
      </c>
      <c r="O16" s="41" t="n">
        <v>486.3482265599999</v>
      </c>
      <c r="P16" s="41" t="n">
        <v>448.2185255976959</v>
      </c>
      <c r="Q16" s="43">
        <f>K16/B16-1</f>
        <v/>
      </c>
      <c r="S16" t="n">
        <v>575.16</v>
      </c>
      <c r="U16" t="n">
        <v>515.24</v>
      </c>
      <c r="V16" t="n">
        <v>785.39</v>
      </c>
      <c r="W16" t="n">
        <v>515.24</v>
      </c>
      <c r="X16" t="n">
        <v>650.85</v>
      </c>
    </row>
    <row r="17">
      <c r="A17" s="40" t="inlineStr">
        <is>
          <t>IPCC</t>
        </is>
      </c>
      <c r="B17" s="41">
        <f>'Dashboard'!D18</f>
        <v/>
      </c>
      <c r="C17" s="41">
        <f>'Dashboard'!E18</f>
        <v/>
      </c>
      <c r="D17" s="42" t="n">
        <v>8.5</v>
      </c>
      <c r="E17" s="41" t="n">
        <v>1075.289895167024</v>
      </c>
      <c r="F17" s="43">
        <f>'Dashboard'!P18</f>
        <v/>
      </c>
      <c r="G17" s="44" t="inlineStr">
        <is>
          <t>45% PE + 35% DDM + 20% PB</t>
        </is>
      </c>
      <c r="H17" s="41" t="n">
        <v>1248.56991</v>
      </c>
      <c r="I17" s="41" t="n">
        <v>1665.549006048</v>
      </c>
      <c r="J17" s="41" t="n">
        <v>1942.696360654387</v>
      </c>
      <c r="K17" s="41" t="n">
        <v>1112.6492</v>
      </c>
      <c r="L17" s="41" t="n">
        <v>1293.26738944</v>
      </c>
      <c r="M17" s="41" t="n">
        <v>1398.798008418304</v>
      </c>
      <c r="N17" s="41" t="n">
        <v>852.5285749999999</v>
      </c>
      <c r="O17" s="41" t="n">
        <v>690.0128278749999</v>
      </c>
      <c r="P17" s="41" t="n">
        <v>622.7365771571872</v>
      </c>
      <c r="Q17" s="43">
        <f>K17/B17-1</f>
        <v/>
      </c>
      <c r="S17" t="n">
        <v>1126.82</v>
      </c>
      <c r="U17" t="n">
        <v>946.26</v>
      </c>
      <c r="V17" t="n">
        <v>1318.19</v>
      </c>
      <c r="W17" t="n">
        <v>983.97</v>
      </c>
      <c r="X17" t="n">
        <v>1318.19</v>
      </c>
    </row>
    <row r="18">
      <c r="A18" s="40" t="inlineStr">
        <is>
          <t>TUGU</t>
        </is>
      </c>
      <c r="B18" s="41">
        <f>'Dashboard'!D19</f>
        <v/>
      </c>
      <c r="C18" s="41">
        <f>'Dashboard'!E19</f>
        <v/>
      </c>
      <c r="D18" s="42" t="n">
        <v>6.8</v>
      </c>
      <c r="E18" s="41" t="n">
        <v>1546.257553210344</v>
      </c>
      <c r="F18" s="43">
        <f>'Dashboard'!P19</f>
        <v/>
      </c>
      <c r="G18" s="44" t="inlineStr">
        <is>
          <t>50% PE + 50% DDM</t>
        </is>
      </c>
      <c r="H18" s="41" t="n">
        <v>1852.37569</v>
      </c>
      <c r="I18" s="41" t="n">
        <v>2692.554169800001</v>
      </c>
      <c r="J18" s="41" t="n">
        <v>3257.990545458001</v>
      </c>
      <c r="K18" s="41" t="n">
        <v>1629.6483</v>
      </c>
      <c r="L18" s="41" t="n">
        <v>2036.3688765</v>
      </c>
      <c r="M18" s="41" t="n">
        <v>2245.09668634125</v>
      </c>
      <c r="N18" s="41" t="n">
        <v>1210.891268</v>
      </c>
      <c r="O18" s="41" t="n">
        <v>1022.7515688096</v>
      </c>
      <c r="P18" s="41" t="n">
        <v>903.7032862001621</v>
      </c>
      <c r="Q18" s="43">
        <f>K18/B18-1</f>
        <v/>
      </c>
      <c r="S18" t="n">
        <v>1333.42</v>
      </c>
      <c r="U18" t="n">
        <v>1121.04</v>
      </c>
      <c r="V18" t="n">
        <v>1731.81</v>
      </c>
      <c r="W18" t="n">
        <v>1121.04</v>
      </c>
      <c r="X18" t="n">
        <v>1645.1</v>
      </c>
    </row>
  </sheetData>
  <mergeCells count="1">
    <mergeCell ref="A1:R1"/>
  </mergeCells>
  <conditionalFormatting sqref="F5:F18">
    <cfRule type="cellIs" priority="1" operator="greaterThan" dxfId="6">
      <formula>0.15</formula>
    </cfRule>
    <cfRule type="cellIs" priority="2" operator="lessThan" dxfId="7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" customWidth="1" min="3" max="3"/>
    <col width="26" customWidth="1" min="4" max="4"/>
    <col width="24" customWidth="1" min="5" max="5"/>
  </cols>
  <sheetData>
    <row r="1">
      <c r="A1" s="1" t="inlineStr">
        <is>
          <t>Simulator Financial Freedom</t>
        </is>
      </c>
    </row>
    <row r="2">
      <c r="A2" s="2" t="inlineStr">
        <is>
          <t>Ubah sel kuning. Semua hasil dihitung ulang otomatis (model bulanan, dividen direinvestasikan).</t>
        </is>
      </c>
    </row>
    <row r="4">
      <c r="A4" s="35" t="inlineStr">
        <is>
          <t>ASUMSI</t>
        </is>
      </c>
      <c r="D4" s="35" t="inlineStr">
        <is>
          <t>HASIL PADA HORIZON</t>
        </is>
      </c>
    </row>
    <row r="5">
      <c r="A5" s="45" t="inlineStr">
        <is>
          <t>Setoran bulanan (Rp)</t>
        </is>
      </c>
      <c r="B5" s="46" t="n">
        <v>5000000</v>
      </c>
    </row>
    <row r="6">
      <c r="A6" s="45" t="inlineStr">
        <is>
          <t>Dividend yield awal</t>
        </is>
      </c>
      <c r="B6" s="47" t="n">
        <v>0.08</v>
      </c>
      <c r="D6" s="45" t="inlineStr">
        <is>
          <t>Total setoran</t>
        </is>
      </c>
      <c r="E6" s="48">
        <f>B5*12*B9</f>
        <v/>
      </c>
    </row>
    <row r="7">
      <c r="A7" s="45" t="inlineStr">
        <is>
          <t>Pertumbuhan dividen / tahun</t>
        </is>
      </c>
      <c r="B7" s="47" t="n">
        <v>0.05</v>
      </c>
      <c r="D7" s="45" t="inlineStr">
        <is>
          <t>Nilai portofolio</t>
        </is>
      </c>
      <c r="E7" s="48">
        <f>INDEX(Simulasi!$E$5:$E$364,B9*12)</f>
        <v/>
      </c>
    </row>
    <row r="8">
      <c r="A8" s="45" t="inlineStr">
        <is>
          <t>Pertumbuhan harga / tahun</t>
        </is>
      </c>
      <c r="B8" s="47" t="n">
        <v>0.05</v>
      </c>
      <c r="D8" s="45" t="inlineStr">
        <is>
          <t>Dividen tahunan</t>
        </is>
      </c>
      <c r="E8" s="48">
        <f>INDEX(Simulasi!$F$5:$F$364,B9*12)</f>
        <v/>
      </c>
    </row>
    <row r="9">
      <c r="A9" s="45" t="inlineStr">
        <is>
          <t>Horizon (tahun, maks 30)</t>
        </is>
      </c>
      <c r="B9" s="49" t="n">
        <v>20</v>
      </c>
      <c r="D9" s="45" t="inlineStr">
        <is>
          <t>Dividen bulanan</t>
        </is>
      </c>
      <c r="E9" s="48">
        <f>E8/12</f>
        <v/>
      </c>
    </row>
    <row r="10">
      <c r="D10" s="45" t="inlineStr">
        <is>
          <t>Kelipatan modal</t>
        </is>
      </c>
      <c r="E10" s="50">
        <f>E7/E6</f>
        <v/>
      </c>
    </row>
    <row r="12">
      <c r="A12" s="35" t="inlineStr">
        <is>
          <t>TARGET PASSIVE INCOME</t>
        </is>
      </c>
    </row>
    <row r="13">
      <c r="A13" t="inlineStr">
        <is>
          <t>Target dividen / bulan (Rp)</t>
        </is>
      </c>
      <c r="B13" s="51" t="n">
        <v>10000000</v>
      </c>
      <c r="D13" t="inlineStr">
        <is>
          <t>Modal yang dibutuhkan</t>
        </is>
      </c>
      <c r="E13" s="52">
        <f>B13*12/B6</f>
        <v/>
      </c>
    </row>
    <row r="14">
      <c r="D14" s="45" t="inlineStr">
        <is>
          <t>Tahun tercapai (simulasi)</t>
        </is>
      </c>
      <c r="E14" s="53">
        <f>IF(COUNTIF(Simulasi!$F$5:$F$364,"&lt;"&amp;(B13*12))&gt;=360,"belum tercapai",(COUNTIF(Simulasi!$F$5:$F$364,"&lt;"&amp;(B13*12))+1)/12)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Proyeksi Nilai Portofolio per Tahun</t>
        </is>
      </c>
    </row>
    <row r="2">
      <c r="A2" s="2" t="inlineStr">
        <is>
          <t>Bersumber dari sheet 'Simulasi'. Mengikuti asumsi di sheet 'Simulator'.</t>
        </is>
      </c>
    </row>
    <row r="4" ht="30" customHeight="1">
      <c r="A4" s="8" t="inlineStr">
        <is>
          <t>Tahun</t>
        </is>
      </c>
      <c r="B4" s="8" t="inlineStr">
        <is>
          <t>Nilai Portofolio</t>
        </is>
      </c>
      <c r="C4" s="8" t="inlineStr">
        <is>
          <t>Total Setoran Kumulatif</t>
        </is>
      </c>
      <c r="D4" s="8" t="inlineStr">
        <is>
          <t>Dividen / Tahun</t>
        </is>
      </c>
      <c r="E4" s="8" t="inlineStr">
        <is>
          <t>Dividen / Bulan</t>
        </is>
      </c>
      <c r="F4" s="8" t="inlineStr">
        <is>
          <t>Yield on Cost</t>
        </is>
      </c>
    </row>
    <row r="5">
      <c r="A5" s="54" t="n">
        <v>1</v>
      </c>
      <c r="B5" s="55">
        <f>IF($A5&gt;Simulator!$B$9,"",INDEX(Simulasi!$E$5:$E$364,$A5*12))</f>
        <v/>
      </c>
      <c r="C5" s="55">
        <f>IF($A5&gt;Simulator!$B$9,"",Simulator!$B$5*12*$A5)</f>
        <v/>
      </c>
      <c r="D5" s="55">
        <f>IF($A5&gt;Simulator!$B$9,"",INDEX(Simulasi!$F$5:$F$364,$A5*12))</f>
        <v/>
      </c>
      <c r="E5" s="55">
        <f>IF($A5&gt;Simulator!$B$9,"",D5/12)</f>
        <v/>
      </c>
      <c r="F5" s="56">
        <f>IF($A5&gt;Simulator!$B$9,"",D5/C5)</f>
        <v/>
      </c>
    </row>
    <row r="6">
      <c r="A6" s="57" t="n">
        <v>2</v>
      </c>
      <c r="B6" s="58">
        <f>IF($A6&gt;Simulator!$B$9,"",INDEX(Simulasi!$E$5:$E$364,$A6*12))</f>
        <v/>
      </c>
      <c r="C6" s="58">
        <f>IF($A6&gt;Simulator!$B$9,"",Simulator!$B$5*12*$A6)</f>
        <v/>
      </c>
      <c r="D6" s="58">
        <f>IF($A6&gt;Simulator!$B$9,"",INDEX(Simulasi!$F$5:$F$364,$A6*12))</f>
        <v/>
      </c>
      <c r="E6" s="58">
        <f>IF($A6&gt;Simulator!$B$9,"",D6/12)</f>
        <v/>
      </c>
      <c r="F6" s="59">
        <f>IF($A6&gt;Simulator!$B$9,"",D6/C6)</f>
        <v/>
      </c>
    </row>
    <row r="7">
      <c r="A7" s="54" t="n">
        <v>3</v>
      </c>
      <c r="B7" s="55">
        <f>IF($A7&gt;Simulator!$B$9,"",INDEX(Simulasi!$E$5:$E$364,$A7*12))</f>
        <v/>
      </c>
      <c r="C7" s="55">
        <f>IF($A7&gt;Simulator!$B$9,"",Simulator!$B$5*12*$A7)</f>
        <v/>
      </c>
      <c r="D7" s="55">
        <f>IF($A7&gt;Simulator!$B$9,"",INDEX(Simulasi!$F$5:$F$364,$A7*12))</f>
        <v/>
      </c>
      <c r="E7" s="55">
        <f>IF($A7&gt;Simulator!$B$9,"",D7/12)</f>
        <v/>
      </c>
      <c r="F7" s="56">
        <f>IF($A7&gt;Simulator!$B$9,"",D7/C7)</f>
        <v/>
      </c>
    </row>
    <row r="8">
      <c r="A8" s="57" t="n">
        <v>4</v>
      </c>
      <c r="B8" s="58">
        <f>IF($A8&gt;Simulator!$B$9,"",INDEX(Simulasi!$E$5:$E$364,$A8*12))</f>
        <v/>
      </c>
      <c r="C8" s="58">
        <f>IF($A8&gt;Simulator!$B$9,"",Simulator!$B$5*12*$A8)</f>
        <v/>
      </c>
      <c r="D8" s="58">
        <f>IF($A8&gt;Simulator!$B$9,"",INDEX(Simulasi!$F$5:$F$364,$A8*12))</f>
        <v/>
      </c>
      <c r="E8" s="58">
        <f>IF($A8&gt;Simulator!$B$9,"",D8/12)</f>
        <v/>
      </c>
      <c r="F8" s="59">
        <f>IF($A8&gt;Simulator!$B$9,"",D8/C8)</f>
        <v/>
      </c>
    </row>
    <row r="9">
      <c r="A9" s="54" t="n">
        <v>5</v>
      </c>
      <c r="B9" s="55">
        <f>IF($A9&gt;Simulator!$B$9,"",INDEX(Simulasi!$E$5:$E$364,$A9*12))</f>
        <v/>
      </c>
      <c r="C9" s="55">
        <f>IF($A9&gt;Simulator!$B$9,"",Simulator!$B$5*12*$A9)</f>
        <v/>
      </c>
      <c r="D9" s="55">
        <f>IF($A9&gt;Simulator!$B$9,"",INDEX(Simulasi!$F$5:$F$364,$A9*12))</f>
        <v/>
      </c>
      <c r="E9" s="55">
        <f>IF($A9&gt;Simulator!$B$9,"",D9/12)</f>
        <v/>
      </c>
      <c r="F9" s="56">
        <f>IF($A9&gt;Simulator!$B$9,"",D9/C9)</f>
        <v/>
      </c>
    </row>
    <row r="10">
      <c r="A10" s="57" t="n">
        <v>6</v>
      </c>
      <c r="B10" s="58">
        <f>IF($A10&gt;Simulator!$B$9,"",INDEX(Simulasi!$E$5:$E$364,$A10*12))</f>
        <v/>
      </c>
      <c r="C10" s="58">
        <f>IF($A10&gt;Simulator!$B$9,"",Simulator!$B$5*12*$A10)</f>
        <v/>
      </c>
      <c r="D10" s="58">
        <f>IF($A10&gt;Simulator!$B$9,"",INDEX(Simulasi!$F$5:$F$364,$A10*12))</f>
        <v/>
      </c>
      <c r="E10" s="58">
        <f>IF($A10&gt;Simulator!$B$9,"",D10/12)</f>
        <v/>
      </c>
      <c r="F10" s="59">
        <f>IF($A10&gt;Simulator!$B$9,"",D10/C10)</f>
        <v/>
      </c>
    </row>
    <row r="11">
      <c r="A11" s="54" t="n">
        <v>7</v>
      </c>
      <c r="B11" s="55">
        <f>IF($A11&gt;Simulator!$B$9,"",INDEX(Simulasi!$E$5:$E$364,$A11*12))</f>
        <v/>
      </c>
      <c r="C11" s="55">
        <f>IF($A11&gt;Simulator!$B$9,"",Simulator!$B$5*12*$A11)</f>
        <v/>
      </c>
      <c r="D11" s="55">
        <f>IF($A11&gt;Simulator!$B$9,"",INDEX(Simulasi!$F$5:$F$364,$A11*12))</f>
        <v/>
      </c>
      <c r="E11" s="55">
        <f>IF($A11&gt;Simulator!$B$9,"",D11/12)</f>
        <v/>
      </c>
      <c r="F11" s="56">
        <f>IF($A11&gt;Simulator!$B$9,"",D11/C11)</f>
        <v/>
      </c>
    </row>
    <row r="12">
      <c r="A12" s="57" t="n">
        <v>8</v>
      </c>
      <c r="B12" s="58">
        <f>IF($A12&gt;Simulator!$B$9,"",INDEX(Simulasi!$E$5:$E$364,$A12*12))</f>
        <v/>
      </c>
      <c r="C12" s="58">
        <f>IF($A12&gt;Simulator!$B$9,"",Simulator!$B$5*12*$A12)</f>
        <v/>
      </c>
      <c r="D12" s="58">
        <f>IF($A12&gt;Simulator!$B$9,"",INDEX(Simulasi!$F$5:$F$364,$A12*12))</f>
        <v/>
      </c>
      <c r="E12" s="58">
        <f>IF($A12&gt;Simulator!$B$9,"",D12/12)</f>
        <v/>
      </c>
      <c r="F12" s="59">
        <f>IF($A12&gt;Simulator!$B$9,"",D12/C12)</f>
        <v/>
      </c>
    </row>
    <row r="13">
      <c r="A13" s="54" t="n">
        <v>9</v>
      </c>
      <c r="B13" s="55">
        <f>IF($A13&gt;Simulator!$B$9,"",INDEX(Simulasi!$E$5:$E$364,$A13*12))</f>
        <v/>
      </c>
      <c r="C13" s="55">
        <f>IF($A13&gt;Simulator!$B$9,"",Simulator!$B$5*12*$A13)</f>
        <v/>
      </c>
      <c r="D13" s="55">
        <f>IF($A13&gt;Simulator!$B$9,"",INDEX(Simulasi!$F$5:$F$364,$A13*12))</f>
        <v/>
      </c>
      <c r="E13" s="55">
        <f>IF($A13&gt;Simulator!$B$9,"",D13/12)</f>
        <v/>
      </c>
      <c r="F13" s="56">
        <f>IF($A13&gt;Simulator!$B$9,"",D13/C13)</f>
        <v/>
      </c>
    </row>
    <row r="14">
      <c r="A14" s="57" t="n">
        <v>10</v>
      </c>
      <c r="B14" s="58">
        <f>IF($A14&gt;Simulator!$B$9,"",INDEX(Simulasi!$E$5:$E$364,$A14*12))</f>
        <v/>
      </c>
      <c r="C14" s="58">
        <f>IF($A14&gt;Simulator!$B$9,"",Simulator!$B$5*12*$A14)</f>
        <v/>
      </c>
      <c r="D14" s="58">
        <f>IF($A14&gt;Simulator!$B$9,"",INDEX(Simulasi!$F$5:$F$364,$A14*12))</f>
        <v/>
      </c>
      <c r="E14" s="58">
        <f>IF($A14&gt;Simulator!$B$9,"",D14/12)</f>
        <v/>
      </c>
      <c r="F14" s="59">
        <f>IF($A14&gt;Simulator!$B$9,"",D14/C14)</f>
        <v/>
      </c>
    </row>
    <row r="15">
      <c r="A15" s="54" t="n">
        <v>11</v>
      </c>
      <c r="B15" s="55">
        <f>IF($A15&gt;Simulator!$B$9,"",INDEX(Simulasi!$E$5:$E$364,$A15*12))</f>
        <v/>
      </c>
      <c r="C15" s="55">
        <f>IF($A15&gt;Simulator!$B$9,"",Simulator!$B$5*12*$A15)</f>
        <v/>
      </c>
      <c r="D15" s="55">
        <f>IF($A15&gt;Simulator!$B$9,"",INDEX(Simulasi!$F$5:$F$364,$A15*12))</f>
        <v/>
      </c>
      <c r="E15" s="55">
        <f>IF($A15&gt;Simulator!$B$9,"",D15/12)</f>
        <v/>
      </c>
      <c r="F15" s="56">
        <f>IF($A15&gt;Simulator!$B$9,"",D15/C15)</f>
        <v/>
      </c>
    </row>
    <row r="16">
      <c r="A16" s="57" t="n">
        <v>12</v>
      </c>
      <c r="B16" s="58">
        <f>IF($A16&gt;Simulator!$B$9,"",INDEX(Simulasi!$E$5:$E$364,$A16*12))</f>
        <v/>
      </c>
      <c r="C16" s="58">
        <f>IF($A16&gt;Simulator!$B$9,"",Simulator!$B$5*12*$A16)</f>
        <v/>
      </c>
      <c r="D16" s="58">
        <f>IF($A16&gt;Simulator!$B$9,"",INDEX(Simulasi!$F$5:$F$364,$A16*12))</f>
        <v/>
      </c>
      <c r="E16" s="58">
        <f>IF($A16&gt;Simulator!$B$9,"",D16/12)</f>
        <v/>
      </c>
      <c r="F16" s="59">
        <f>IF($A16&gt;Simulator!$B$9,"",D16/C16)</f>
        <v/>
      </c>
    </row>
    <row r="17">
      <c r="A17" s="54" t="n">
        <v>13</v>
      </c>
      <c r="B17" s="55">
        <f>IF($A17&gt;Simulator!$B$9,"",INDEX(Simulasi!$E$5:$E$364,$A17*12))</f>
        <v/>
      </c>
      <c r="C17" s="55">
        <f>IF($A17&gt;Simulator!$B$9,"",Simulator!$B$5*12*$A17)</f>
        <v/>
      </c>
      <c r="D17" s="55">
        <f>IF($A17&gt;Simulator!$B$9,"",INDEX(Simulasi!$F$5:$F$364,$A17*12))</f>
        <v/>
      </c>
      <c r="E17" s="55">
        <f>IF($A17&gt;Simulator!$B$9,"",D17/12)</f>
        <v/>
      </c>
      <c r="F17" s="56">
        <f>IF($A17&gt;Simulator!$B$9,"",D17/C17)</f>
        <v/>
      </c>
    </row>
    <row r="18">
      <c r="A18" s="57" t="n">
        <v>14</v>
      </c>
      <c r="B18" s="58">
        <f>IF($A18&gt;Simulator!$B$9,"",INDEX(Simulasi!$E$5:$E$364,$A18*12))</f>
        <v/>
      </c>
      <c r="C18" s="58">
        <f>IF($A18&gt;Simulator!$B$9,"",Simulator!$B$5*12*$A18)</f>
        <v/>
      </c>
      <c r="D18" s="58">
        <f>IF($A18&gt;Simulator!$B$9,"",INDEX(Simulasi!$F$5:$F$364,$A18*12))</f>
        <v/>
      </c>
      <c r="E18" s="58">
        <f>IF($A18&gt;Simulator!$B$9,"",D18/12)</f>
        <v/>
      </c>
      <c r="F18" s="59">
        <f>IF($A18&gt;Simulator!$B$9,"",D18/C18)</f>
        <v/>
      </c>
    </row>
    <row r="19">
      <c r="A19" s="54" t="n">
        <v>15</v>
      </c>
      <c r="B19" s="55">
        <f>IF($A19&gt;Simulator!$B$9,"",INDEX(Simulasi!$E$5:$E$364,$A19*12))</f>
        <v/>
      </c>
      <c r="C19" s="55">
        <f>IF($A19&gt;Simulator!$B$9,"",Simulator!$B$5*12*$A19)</f>
        <v/>
      </c>
      <c r="D19" s="55">
        <f>IF($A19&gt;Simulator!$B$9,"",INDEX(Simulasi!$F$5:$F$364,$A19*12))</f>
        <v/>
      </c>
      <c r="E19" s="55">
        <f>IF($A19&gt;Simulator!$B$9,"",D19/12)</f>
        <v/>
      </c>
      <c r="F19" s="56">
        <f>IF($A19&gt;Simulator!$B$9,"",D19/C19)</f>
        <v/>
      </c>
    </row>
    <row r="20">
      <c r="A20" s="57" t="n">
        <v>16</v>
      </c>
      <c r="B20" s="58">
        <f>IF($A20&gt;Simulator!$B$9,"",INDEX(Simulasi!$E$5:$E$364,$A20*12))</f>
        <v/>
      </c>
      <c r="C20" s="58">
        <f>IF($A20&gt;Simulator!$B$9,"",Simulator!$B$5*12*$A20)</f>
        <v/>
      </c>
      <c r="D20" s="58">
        <f>IF($A20&gt;Simulator!$B$9,"",INDEX(Simulasi!$F$5:$F$364,$A20*12))</f>
        <v/>
      </c>
      <c r="E20" s="58">
        <f>IF($A20&gt;Simulator!$B$9,"",D20/12)</f>
        <v/>
      </c>
      <c r="F20" s="59">
        <f>IF($A20&gt;Simulator!$B$9,"",D20/C20)</f>
        <v/>
      </c>
    </row>
    <row r="21">
      <c r="A21" s="54" t="n">
        <v>17</v>
      </c>
      <c r="B21" s="55">
        <f>IF($A21&gt;Simulator!$B$9,"",INDEX(Simulasi!$E$5:$E$364,$A21*12))</f>
        <v/>
      </c>
      <c r="C21" s="55">
        <f>IF($A21&gt;Simulator!$B$9,"",Simulator!$B$5*12*$A21)</f>
        <v/>
      </c>
      <c r="D21" s="55">
        <f>IF($A21&gt;Simulator!$B$9,"",INDEX(Simulasi!$F$5:$F$364,$A21*12))</f>
        <v/>
      </c>
      <c r="E21" s="55">
        <f>IF($A21&gt;Simulator!$B$9,"",D21/12)</f>
        <v/>
      </c>
      <c r="F21" s="56">
        <f>IF($A21&gt;Simulator!$B$9,"",D21/C21)</f>
        <v/>
      </c>
    </row>
    <row r="22">
      <c r="A22" s="57" t="n">
        <v>18</v>
      </c>
      <c r="B22" s="58">
        <f>IF($A22&gt;Simulator!$B$9,"",INDEX(Simulasi!$E$5:$E$364,$A22*12))</f>
        <v/>
      </c>
      <c r="C22" s="58">
        <f>IF($A22&gt;Simulator!$B$9,"",Simulator!$B$5*12*$A22)</f>
        <v/>
      </c>
      <c r="D22" s="58">
        <f>IF($A22&gt;Simulator!$B$9,"",INDEX(Simulasi!$F$5:$F$364,$A22*12))</f>
        <v/>
      </c>
      <c r="E22" s="58">
        <f>IF($A22&gt;Simulator!$B$9,"",D22/12)</f>
        <v/>
      </c>
      <c r="F22" s="59">
        <f>IF($A22&gt;Simulator!$B$9,"",D22/C22)</f>
        <v/>
      </c>
    </row>
    <row r="23">
      <c r="A23" s="54" t="n">
        <v>19</v>
      </c>
      <c r="B23" s="55">
        <f>IF($A23&gt;Simulator!$B$9,"",INDEX(Simulasi!$E$5:$E$364,$A23*12))</f>
        <v/>
      </c>
      <c r="C23" s="55">
        <f>IF($A23&gt;Simulator!$B$9,"",Simulator!$B$5*12*$A23)</f>
        <v/>
      </c>
      <c r="D23" s="55">
        <f>IF($A23&gt;Simulator!$B$9,"",INDEX(Simulasi!$F$5:$F$364,$A23*12))</f>
        <v/>
      </c>
      <c r="E23" s="55">
        <f>IF($A23&gt;Simulator!$B$9,"",D23/12)</f>
        <v/>
      </c>
      <c r="F23" s="56">
        <f>IF($A23&gt;Simulator!$B$9,"",D23/C23)</f>
        <v/>
      </c>
    </row>
    <row r="24">
      <c r="A24" s="57" t="n">
        <v>20</v>
      </c>
      <c r="B24" s="58">
        <f>IF($A24&gt;Simulator!$B$9,"",INDEX(Simulasi!$E$5:$E$364,$A24*12))</f>
        <v/>
      </c>
      <c r="C24" s="58">
        <f>IF($A24&gt;Simulator!$B$9,"",Simulator!$B$5*12*$A24)</f>
        <v/>
      </c>
      <c r="D24" s="58">
        <f>IF($A24&gt;Simulator!$B$9,"",INDEX(Simulasi!$F$5:$F$364,$A24*12))</f>
        <v/>
      </c>
      <c r="E24" s="58">
        <f>IF($A24&gt;Simulator!$B$9,"",D24/12)</f>
        <v/>
      </c>
      <c r="F24" s="59">
        <f>IF($A24&gt;Simulator!$B$9,"",D24/C24)</f>
        <v/>
      </c>
    </row>
    <row r="25">
      <c r="A25" s="54" t="n">
        <v>21</v>
      </c>
      <c r="B25" s="55">
        <f>IF($A25&gt;Simulator!$B$9,"",INDEX(Simulasi!$E$5:$E$364,$A25*12))</f>
        <v/>
      </c>
      <c r="C25" s="55">
        <f>IF($A25&gt;Simulator!$B$9,"",Simulator!$B$5*12*$A25)</f>
        <v/>
      </c>
      <c r="D25" s="55">
        <f>IF($A25&gt;Simulator!$B$9,"",INDEX(Simulasi!$F$5:$F$364,$A25*12))</f>
        <v/>
      </c>
      <c r="E25" s="55">
        <f>IF($A25&gt;Simulator!$B$9,"",D25/12)</f>
        <v/>
      </c>
      <c r="F25" s="56">
        <f>IF($A25&gt;Simulator!$B$9,"",D25/C25)</f>
        <v/>
      </c>
    </row>
    <row r="26">
      <c r="A26" s="57" t="n">
        <v>22</v>
      </c>
      <c r="B26" s="58">
        <f>IF($A26&gt;Simulator!$B$9,"",INDEX(Simulasi!$E$5:$E$364,$A26*12))</f>
        <v/>
      </c>
      <c r="C26" s="58">
        <f>IF($A26&gt;Simulator!$B$9,"",Simulator!$B$5*12*$A26)</f>
        <v/>
      </c>
      <c r="D26" s="58">
        <f>IF($A26&gt;Simulator!$B$9,"",INDEX(Simulasi!$F$5:$F$364,$A26*12))</f>
        <v/>
      </c>
      <c r="E26" s="58">
        <f>IF($A26&gt;Simulator!$B$9,"",D26/12)</f>
        <v/>
      </c>
      <c r="F26" s="59">
        <f>IF($A26&gt;Simulator!$B$9,"",D26/C26)</f>
        <v/>
      </c>
    </row>
    <row r="27">
      <c r="A27" s="54" t="n">
        <v>23</v>
      </c>
      <c r="B27" s="55">
        <f>IF($A27&gt;Simulator!$B$9,"",INDEX(Simulasi!$E$5:$E$364,$A27*12))</f>
        <v/>
      </c>
      <c r="C27" s="55">
        <f>IF($A27&gt;Simulator!$B$9,"",Simulator!$B$5*12*$A27)</f>
        <v/>
      </c>
      <c r="D27" s="55">
        <f>IF($A27&gt;Simulator!$B$9,"",INDEX(Simulasi!$F$5:$F$364,$A27*12))</f>
        <v/>
      </c>
      <c r="E27" s="55">
        <f>IF($A27&gt;Simulator!$B$9,"",D27/12)</f>
        <v/>
      </c>
      <c r="F27" s="56">
        <f>IF($A27&gt;Simulator!$B$9,"",D27/C27)</f>
        <v/>
      </c>
    </row>
    <row r="28">
      <c r="A28" s="57" t="n">
        <v>24</v>
      </c>
      <c r="B28" s="58">
        <f>IF($A28&gt;Simulator!$B$9,"",INDEX(Simulasi!$E$5:$E$364,$A28*12))</f>
        <v/>
      </c>
      <c r="C28" s="58">
        <f>IF($A28&gt;Simulator!$B$9,"",Simulator!$B$5*12*$A28)</f>
        <v/>
      </c>
      <c r="D28" s="58">
        <f>IF($A28&gt;Simulator!$B$9,"",INDEX(Simulasi!$F$5:$F$364,$A28*12))</f>
        <v/>
      </c>
      <c r="E28" s="58">
        <f>IF($A28&gt;Simulator!$B$9,"",D28/12)</f>
        <v/>
      </c>
      <c r="F28" s="59">
        <f>IF($A28&gt;Simulator!$B$9,"",D28/C28)</f>
        <v/>
      </c>
    </row>
    <row r="29">
      <c r="A29" s="54" t="n">
        <v>25</v>
      </c>
      <c r="B29" s="55">
        <f>IF($A29&gt;Simulator!$B$9,"",INDEX(Simulasi!$E$5:$E$364,$A29*12))</f>
        <v/>
      </c>
      <c r="C29" s="55">
        <f>IF($A29&gt;Simulator!$B$9,"",Simulator!$B$5*12*$A29)</f>
        <v/>
      </c>
      <c r="D29" s="55">
        <f>IF($A29&gt;Simulator!$B$9,"",INDEX(Simulasi!$F$5:$F$364,$A29*12))</f>
        <v/>
      </c>
      <c r="E29" s="55">
        <f>IF($A29&gt;Simulator!$B$9,"",D29/12)</f>
        <v/>
      </c>
      <c r="F29" s="56">
        <f>IF($A29&gt;Simulator!$B$9,"",D29/C29)</f>
        <v/>
      </c>
    </row>
    <row r="30">
      <c r="A30" s="57" t="n">
        <v>26</v>
      </c>
      <c r="B30" s="58">
        <f>IF($A30&gt;Simulator!$B$9,"",INDEX(Simulasi!$E$5:$E$364,$A30*12))</f>
        <v/>
      </c>
      <c r="C30" s="58">
        <f>IF($A30&gt;Simulator!$B$9,"",Simulator!$B$5*12*$A30)</f>
        <v/>
      </c>
      <c r="D30" s="58">
        <f>IF($A30&gt;Simulator!$B$9,"",INDEX(Simulasi!$F$5:$F$364,$A30*12))</f>
        <v/>
      </c>
      <c r="E30" s="58">
        <f>IF($A30&gt;Simulator!$B$9,"",D30/12)</f>
        <v/>
      </c>
      <c r="F30" s="59">
        <f>IF($A30&gt;Simulator!$B$9,"",D30/C30)</f>
        <v/>
      </c>
    </row>
    <row r="31">
      <c r="A31" s="54" t="n">
        <v>27</v>
      </c>
      <c r="B31" s="55">
        <f>IF($A31&gt;Simulator!$B$9,"",INDEX(Simulasi!$E$5:$E$364,$A31*12))</f>
        <v/>
      </c>
      <c r="C31" s="55">
        <f>IF($A31&gt;Simulator!$B$9,"",Simulator!$B$5*12*$A31)</f>
        <v/>
      </c>
      <c r="D31" s="55">
        <f>IF($A31&gt;Simulator!$B$9,"",INDEX(Simulasi!$F$5:$F$364,$A31*12))</f>
        <v/>
      </c>
      <c r="E31" s="55">
        <f>IF($A31&gt;Simulator!$B$9,"",D31/12)</f>
        <v/>
      </c>
      <c r="F31" s="56">
        <f>IF($A31&gt;Simulator!$B$9,"",D31/C31)</f>
        <v/>
      </c>
    </row>
    <row r="32">
      <c r="A32" s="57" t="n">
        <v>28</v>
      </c>
      <c r="B32" s="58">
        <f>IF($A32&gt;Simulator!$B$9,"",INDEX(Simulasi!$E$5:$E$364,$A32*12))</f>
        <v/>
      </c>
      <c r="C32" s="58">
        <f>IF($A32&gt;Simulator!$B$9,"",Simulator!$B$5*12*$A32)</f>
        <v/>
      </c>
      <c r="D32" s="58">
        <f>IF($A32&gt;Simulator!$B$9,"",INDEX(Simulasi!$F$5:$F$364,$A32*12))</f>
        <v/>
      </c>
      <c r="E32" s="58">
        <f>IF($A32&gt;Simulator!$B$9,"",D32/12)</f>
        <v/>
      </c>
      <c r="F32" s="59">
        <f>IF($A32&gt;Simulator!$B$9,"",D32/C32)</f>
        <v/>
      </c>
    </row>
    <row r="33">
      <c r="A33" s="54" t="n">
        <v>29</v>
      </c>
      <c r="B33" s="55">
        <f>IF($A33&gt;Simulator!$B$9,"",INDEX(Simulasi!$E$5:$E$364,$A33*12))</f>
        <v/>
      </c>
      <c r="C33" s="55">
        <f>IF($A33&gt;Simulator!$B$9,"",Simulator!$B$5*12*$A33)</f>
        <v/>
      </c>
      <c r="D33" s="55">
        <f>IF($A33&gt;Simulator!$B$9,"",INDEX(Simulasi!$F$5:$F$364,$A33*12))</f>
        <v/>
      </c>
      <c r="E33" s="55">
        <f>IF($A33&gt;Simulator!$B$9,"",D33/12)</f>
        <v/>
      </c>
      <c r="F33" s="56">
        <f>IF($A33&gt;Simulator!$B$9,"",D33/C33)</f>
        <v/>
      </c>
    </row>
    <row r="34">
      <c r="A34" s="57" t="n">
        <v>30</v>
      </c>
      <c r="B34" s="58">
        <f>IF($A34&gt;Simulator!$B$9,"",INDEX(Simulasi!$E$5:$E$364,$A34*12))</f>
        <v/>
      </c>
      <c r="C34" s="58">
        <f>IF($A34&gt;Simulator!$B$9,"",Simulator!$B$5*12*$A34)</f>
        <v/>
      </c>
      <c r="D34" s="58">
        <f>IF($A34&gt;Simulator!$B$9,"",INDEX(Simulasi!$F$5:$F$364,$A34*12))</f>
        <v/>
      </c>
      <c r="E34" s="58">
        <f>IF($A34&gt;Simulator!$B$9,"",D34/12)</f>
        <v/>
      </c>
      <c r="F34" s="59">
        <f>IF($A34&gt;Simulator!$B$9,"",D34/C34)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6" customWidth="1" min="4" max="4"/>
    <col width="18" customWidth="1" min="5" max="5"/>
    <col width="18" customWidth="1" min="6" max="6"/>
  </cols>
  <sheetData>
    <row r="1">
      <c r="A1" s="35" t="inlineStr">
        <is>
          <t>Mesin simulasi bulanan — jangan ubah rumus</t>
        </is>
      </c>
    </row>
    <row r="3" ht="26" customHeight="1">
      <c r="A3" s="8" t="inlineStr">
        <is>
          <t>Bulan</t>
        </is>
      </c>
      <c r="B3" s="8" t="inlineStr">
        <is>
          <t>Harga (indeks)</t>
        </is>
      </c>
      <c r="C3" s="8" t="inlineStr">
        <is>
          <t>DPS (indeks)</t>
        </is>
      </c>
      <c r="D3" s="8" t="inlineStr">
        <is>
          <t>Lembar</t>
        </is>
      </c>
      <c r="E3" s="8" t="inlineStr">
        <is>
          <t>Nilai</t>
        </is>
      </c>
      <c r="F3" s="8" t="inlineStr">
        <is>
          <t>Dividen Run-Rate</t>
        </is>
      </c>
    </row>
    <row r="4">
      <c r="B4" t="n">
        <v>1</v>
      </c>
      <c r="C4">
        <f>Simulator!$B$6</f>
        <v/>
      </c>
      <c r="D4" t="n">
        <v>0</v>
      </c>
    </row>
    <row r="5">
      <c r="A5" s="60" t="n">
        <v>1</v>
      </c>
      <c r="B5" s="60">
        <f>B4*(1+Simulator!$B$8)^(1/12)</f>
        <v/>
      </c>
      <c r="C5" s="60">
        <f>IF(AND(A5&gt;1,MOD(A5-1,12)=0),C4*(1+Simulator!$B$7),C4)</f>
        <v/>
      </c>
      <c r="D5" s="60">
        <f>D4+(Simulator!$B$5+D4*C5/12)/B5</f>
        <v/>
      </c>
      <c r="E5" s="60">
        <f>D5*B5</f>
        <v/>
      </c>
      <c r="F5" s="60">
        <f>D5*C5</f>
        <v/>
      </c>
    </row>
    <row r="6">
      <c r="A6" s="60" t="n">
        <v>2</v>
      </c>
      <c r="B6" s="60">
        <f>B5*(1+Simulator!$B$8)^(1/12)</f>
        <v/>
      </c>
      <c r="C6" s="60">
        <f>IF(AND(A6&gt;1,MOD(A6-1,12)=0),C5*(1+Simulator!$B$7),C5)</f>
        <v/>
      </c>
      <c r="D6" s="60">
        <f>D5+(Simulator!$B$5+D5*C6/12)/B6</f>
        <v/>
      </c>
      <c r="E6" s="60">
        <f>D6*B6</f>
        <v/>
      </c>
      <c r="F6" s="60">
        <f>D6*C6</f>
        <v/>
      </c>
    </row>
    <row r="7">
      <c r="A7" s="60" t="n">
        <v>3</v>
      </c>
      <c r="B7" s="60">
        <f>B6*(1+Simulator!$B$8)^(1/12)</f>
        <v/>
      </c>
      <c r="C7" s="60">
        <f>IF(AND(A7&gt;1,MOD(A7-1,12)=0),C6*(1+Simulator!$B$7),C6)</f>
        <v/>
      </c>
      <c r="D7" s="60">
        <f>D6+(Simulator!$B$5+D6*C7/12)/B7</f>
        <v/>
      </c>
      <c r="E7" s="60">
        <f>D7*B7</f>
        <v/>
      </c>
      <c r="F7" s="60">
        <f>D7*C7</f>
        <v/>
      </c>
    </row>
    <row r="8">
      <c r="A8" s="60" t="n">
        <v>4</v>
      </c>
      <c r="B8" s="60">
        <f>B7*(1+Simulator!$B$8)^(1/12)</f>
        <v/>
      </c>
      <c r="C8" s="60">
        <f>IF(AND(A8&gt;1,MOD(A8-1,12)=0),C7*(1+Simulator!$B$7),C7)</f>
        <v/>
      </c>
      <c r="D8" s="60">
        <f>D7+(Simulator!$B$5+D7*C8/12)/B8</f>
        <v/>
      </c>
      <c r="E8" s="60">
        <f>D8*B8</f>
        <v/>
      </c>
      <c r="F8" s="60">
        <f>D8*C8</f>
        <v/>
      </c>
    </row>
    <row r="9">
      <c r="A9" s="60" t="n">
        <v>5</v>
      </c>
      <c r="B9" s="60">
        <f>B8*(1+Simulator!$B$8)^(1/12)</f>
        <v/>
      </c>
      <c r="C9" s="60">
        <f>IF(AND(A9&gt;1,MOD(A9-1,12)=0),C8*(1+Simulator!$B$7),C8)</f>
        <v/>
      </c>
      <c r="D9" s="60">
        <f>D8+(Simulator!$B$5+D8*C9/12)/B9</f>
        <v/>
      </c>
      <c r="E9" s="60">
        <f>D9*B9</f>
        <v/>
      </c>
      <c r="F9" s="60">
        <f>D9*C9</f>
        <v/>
      </c>
    </row>
    <row r="10">
      <c r="A10" s="60" t="n">
        <v>6</v>
      </c>
      <c r="B10" s="60">
        <f>B9*(1+Simulator!$B$8)^(1/12)</f>
        <v/>
      </c>
      <c r="C10" s="60">
        <f>IF(AND(A10&gt;1,MOD(A10-1,12)=0),C9*(1+Simulator!$B$7),C9)</f>
        <v/>
      </c>
      <c r="D10" s="60">
        <f>D9+(Simulator!$B$5+D9*C10/12)/B10</f>
        <v/>
      </c>
      <c r="E10" s="60">
        <f>D10*B10</f>
        <v/>
      </c>
      <c r="F10" s="60">
        <f>D10*C10</f>
        <v/>
      </c>
    </row>
    <row r="11">
      <c r="A11" s="60" t="n">
        <v>7</v>
      </c>
      <c r="B11" s="60">
        <f>B10*(1+Simulator!$B$8)^(1/12)</f>
        <v/>
      </c>
      <c r="C11" s="60">
        <f>IF(AND(A11&gt;1,MOD(A11-1,12)=0),C10*(1+Simulator!$B$7),C10)</f>
        <v/>
      </c>
      <c r="D11" s="60">
        <f>D10+(Simulator!$B$5+D10*C11/12)/B11</f>
        <v/>
      </c>
      <c r="E11" s="60">
        <f>D11*B11</f>
        <v/>
      </c>
      <c r="F11" s="60">
        <f>D11*C11</f>
        <v/>
      </c>
    </row>
    <row r="12">
      <c r="A12" s="60" t="n">
        <v>8</v>
      </c>
      <c r="B12" s="60">
        <f>B11*(1+Simulator!$B$8)^(1/12)</f>
        <v/>
      </c>
      <c r="C12" s="60">
        <f>IF(AND(A12&gt;1,MOD(A12-1,12)=0),C11*(1+Simulator!$B$7),C11)</f>
        <v/>
      </c>
      <c r="D12" s="60">
        <f>D11+(Simulator!$B$5+D11*C12/12)/B12</f>
        <v/>
      </c>
      <c r="E12" s="60">
        <f>D12*B12</f>
        <v/>
      </c>
      <c r="F12" s="60">
        <f>D12*C12</f>
        <v/>
      </c>
    </row>
    <row r="13">
      <c r="A13" s="60" t="n">
        <v>9</v>
      </c>
      <c r="B13" s="60">
        <f>B12*(1+Simulator!$B$8)^(1/12)</f>
        <v/>
      </c>
      <c r="C13" s="60">
        <f>IF(AND(A13&gt;1,MOD(A13-1,12)=0),C12*(1+Simulator!$B$7),C12)</f>
        <v/>
      </c>
      <c r="D13" s="60">
        <f>D12+(Simulator!$B$5+D12*C13/12)/B13</f>
        <v/>
      </c>
      <c r="E13" s="60">
        <f>D13*B13</f>
        <v/>
      </c>
      <c r="F13" s="60">
        <f>D13*C13</f>
        <v/>
      </c>
    </row>
    <row r="14">
      <c r="A14" s="60" t="n">
        <v>10</v>
      </c>
      <c r="B14" s="60">
        <f>B13*(1+Simulator!$B$8)^(1/12)</f>
        <v/>
      </c>
      <c r="C14" s="60">
        <f>IF(AND(A14&gt;1,MOD(A14-1,12)=0),C13*(1+Simulator!$B$7),C13)</f>
        <v/>
      </c>
      <c r="D14" s="60">
        <f>D13+(Simulator!$B$5+D13*C14/12)/B14</f>
        <v/>
      </c>
      <c r="E14" s="60">
        <f>D14*B14</f>
        <v/>
      </c>
      <c r="F14" s="60">
        <f>D14*C14</f>
        <v/>
      </c>
    </row>
    <row r="15">
      <c r="A15" s="60" t="n">
        <v>11</v>
      </c>
      <c r="B15" s="60">
        <f>B14*(1+Simulator!$B$8)^(1/12)</f>
        <v/>
      </c>
      <c r="C15" s="60">
        <f>IF(AND(A15&gt;1,MOD(A15-1,12)=0),C14*(1+Simulator!$B$7),C14)</f>
        <v/>
      </c>
      <c r="D15" s="60">
        <f>D14+(Simulator!$B$5+D14*C15/12)/B15</f>
        <v/>
      </c>
      <c r="E15" s="60">
        <f>D15*B15</f>
        <v/>
      </c>
      <c r="F15" s="60">
        <f>D15*C15</f>
        <v/>
      </c>
    </row>
    <row r="16">
      <c r="A16" s="60" t="n">
        <v>12</v>
      </c>
      <c r="B16" s="60">
        <f>B15*(1+Simulator!$B$8)^(1/12)</f>
        <v/>
      </c>
      <c r="C16" s="60">
        <f>IF(AND(A16&gt;1,MOD(A16-1,12)=0),C15*(1+Simulator!$B$7),C15)</f>
        <v/>
      </c>
      <c r="D16" s="60">
        <f>D15+(Simulator!$B$5+D15*C16/12)/B16</f>
        <v/>
      </c>
      <c r="E16" s="60">
        <f>D16*B16</f>
        <v/>
      </c>
      <c r="F16" s="60">
        <f>D16*C16</f>
        <v/>
      </c>
    </row>
    <row r="17">
      <c r="A17" s="60" t="n">
        <v>13</v>
      </c>
      <c r="B17" s="60">
        <f>B16*(1+Simulator!$B$8)^(1/12)</f>
        <v/>
      </c>
      <c r="C17" s="60">
        <f>IF(AND(A17&gt;1,MOD(A17-1,12)=0),C16*(1+Simulator!$B$7),C16)</f>
        <v/>
      </c>
      <c r="D17" s="60">
        <f>D16+(Simulator!$B$5+D16*C17/12)/B17</f>
        <v/>
      </c>
      <c r="E17" s="60">
        <f>D17*B17</f>
        <v/>
      </c>
      <c r="F17" s="60">
        <f>D17*C17</f>
        <v/>
      </c>
    </row>
    <row r="18">
      <c r="A18" s="60" t="n">
        <v>14</v>
      </c>
      <c r="B18" s="60">
        <f>B17*(1+Simulator!$B$8)^(1/12)</f>
        <v/>
      </c>
      <c r="C18" s="60">
        <f>IF(AND(A18&gt;1,MOD(A18-1,12)=0),C17*(1+Simulator!$B$7),C17)</f>
        <v/>
      </c>
      <c r="D18" s="60">
        <f>D17+(Simulator!$B$5+D17*C18/12)/B18</f>
        <v/>
      </c>
      <c r="E18" s="60">
        <f>D18*B18</f>
        <v/>
      </c>
      <c r="F18" s="60">
        <f>D18*C18</f>
        <v/>
      </c>
    </row>
    <row r="19">
      <c r="A19" s="60" t="n">
        <v>15</v>
      </c>
      <c r="B19" s="60">
        <f>B18*(1+Simulator!$B$8)^(1/12)</f>
        <v/>
      </c>
      <c r="C19" s="60">
        <f>IF(AND(A19&gt;1,MOD(A19-1,12)=0),C18*(1+Simulator!$B$7),C18)</f>
        <v/>
      </c>
      <c r="D19" s="60">
        <f>D18+(Simulator!$B$5+D18*C19/12)/B19</f>
        <v/>
      </c>
      <c r="E19" s="60">
        <f>D19*B19</f>
        <v/>
      </c>
      <c r="F19" s="60">
        <f>D19*C19</f>
        <v/>
      </c>
    </row>
    <row r="20">
      <c r="A20" s="60" t="n">
        <v>16</v>
      </c>
      <c r="B20" s="60">
        <f>B19*(1+Simulator!$B$8)^(1/12)</f>
        <v/>
      </c>
      <c r="C20" s="60">
        <f>IF(AND(A20&gt;1,MOD(A20-1,12)=0),C19*(1+Simulator!$B$7),C19)</f>
        <v/>
      </c>
      <c r="D20" s="60">
        <f>D19+(Simulator!$B$5+D19*C20/12)/B20</f>
        <v/>
      </c>
      <c r="E20" s="60">
        <f>D20*B20</f>
        <v/>
      </c>
      <c r="F20" s="60">
        <f>D20*C20</f>
        <v/>
      </c>
    </row>
    <row r="21">
      <c r="A21" s="60" t="n">
        <v>17</v>
      </c>
      <c r="B21" s="60">
        <f>B20*(1+Simulator!$B$8)^(1/12)</f>
        <v/>
      </c>
      <c r="C21" s="60">
        <f>IF(AND(A21&gt;1,MOD(A21-1,12)=0),C20*(1+Simulator!$B$7),C20)</f>
        <v/>
      </c>
      <c r="D21" s="60">
        <f>D20+(Simulator!$B$5+D20*C21/12)/B21</f>
        <v/>
      </c>
      <c r="E21" s="60">
        <f>D21*B21</f>
        <v/>
      </c>
      <c r="F21" s="60">
        <f>D21*C21</f>
        <v/>
      </c>
    </row>
    <row r="22">
      <c r="A22" s="60" t="n">
        <v>18</v>
      </c>
      <c r="B22" s="60">
        <f>B21*(1+Simulator!$B$8)^(1/12)</f>
        <v/>
      </c>
      <c r="C22" s="60">
        <f>IF(AND(A22&gt;1,MOD(A22-1,12)=0),C21*(1+Simulator!$B$7),C21)</f>
        <v/>
      </c>
      <c r="D22" s="60">
        <f>D21+(Simulator!$B$5+D21*C22/12)/B22</f>
        <v/>
      </c>
      <c r="E22" s="60">
        <f>D22*B22</f>
        <v/>
      </c>
      <c r="F22" s="60">
        <f>D22*C22</f>
        <v/>
      </c>
    </row>
    <row r="23">
      <c r="A23" s="60" t="n">
        <v>19</v>
      </c>
      <c r="B23" s="60">
        <f>B22*(1+Simulator!$B$8)^(1/12)</f>
        <v/>
      </c>
      <c r="C23" s="60">
        <f>IF(AND(A23&gt;1,MOD(A23-1,12)=0),C22*(1+Simulator!$B$7),C22)</f>
        <v/>
      </c>
      <c r="D23" s="60">
        <f>D22+(Simulator!$B$5+D22*C23/12)/B23</f>
        <v/>
      </c>
      <c r="E23" s="60">
        <f>D23*B23</f>
        <v/>
      </c>
      <c r="F23" s="60">
        <f>D23*C23</f>
        <v/>
      </c>
    </row>
    <row r="24">
      <c r="A24" s="60" t="n">
        <v>20</v>
      </c>
      <c r="B24" s="60">
        <f>B23*(1+Simulator!$B$8)^(1/12)</f>
        <v/>
      </c>
      <c r="C24" s="60">
        <f>IF(AND(A24&gt;1,MOD(A24-1,12)=0),C23*(1+Simulator!$B$7),C23)</f>
        <v/>
      </c>
      <c r="D24" s="60">
        <f>D23+(Simulator!$B$5+D23*C24/12)/B24</f>
        <v/>
      </c>
      <c r="E24" s="60">
        <f>D24*B24</f>
        <v/>
      </c>
      <c r="F24" s="60">
        <f>D24*C24</f>
        <v/>
      </c>
    </row>
    <row r="25">
      <c r="A25" s="60" t="n">
        <v>21</v>
      </c>
      <c r="B25" s="60">
        <f>B24*(1+Simulator!$B$8)^(1/12)</f>
        <v/>
      </c>
      <c r="C25" s="60">
        <f>IF(AND(A25&gt;1,MOD(A25-1,12)=0),C24*(1+Simulator!$B$7),C24)</f>
        <v/>
      </c>
      <c r="D25" s="60">
        <f>D24+(Simulator!$B$5+D24*C25/12)/B25</f>
        <v/>
      </c>
      <c r="E25" s="60">
        <f>D25*B25</f>
        <v/>
      </c>
      <c r="F25" s="60">
        <f>D25*C25</f>
        <v/>
      </c>
    </row>
    <row r="26">
      <c r="A26" s="60" t="n">
        <v>22</v>
      </c>
      <c r="B26" s="60">
        <f>B25*(1+Simulator!$B$8)^(1/12)</f>
        <v/>
      </c>
      <c r="C26" s="60">
        <f>IF(AND(A26&gt;1,MOD(A26-1,12)=0),C25*(1+Simulator!$B$7),C25)</f>
        <v/>
      </c>
      <c r="D26" s="60">
        <f>D25+(Simulator!$B$5+D25*C26/12)/B26</f>
        <v/>
      </c>
      <c r="E26" s="60">
        <f>D26*B26</f>
        <v/>
      </c>
      <c r="F26" s="60">
        <f>D26*C26</f>
        <v/>
      </c>
    </row>
    <row r="27">
      <c r="A27" s="60" t="n">
        <v>23</v>
      </c>
      <c r="B27" s="60">
        <f>B26*(1+Simulator!$B$8)^(1/12)</f>
        <v/>
      </c>
      <c r="C27" s="60">
        <f>IF(AND(A27&gt;1,MOD(A27-1,12)=0),C26*(1+Simulator!$B$7),C26)</f>
        <v/>
      </c>
      <c r="D27" s="60">
        <f>D26+(Simulator!$B$5+D26*C27/12)/B27</f>
        <v/>
      </c>
      <c r="E27" s="60">
        <f>D27*B27</f>
        <v/>
      </c>
      <c r="F27" s="60">
        <f>D27*C27</f>
        <v/>
      </c>
    </row>
    <row r="28">
      <c r="A28" s="60" t="n">
        <v>24</v>
      </c>
      <c r="B28" s="60">
        <f>B27*(1+Simulator!$B$8)^(1/12)</f>
        <v/>
      </c>
      <c r="C28" s="60">
        <f>IF(AND(A28&gt;1,MOD(A28-1,12)=0),C27*(1+Simulator!$B$7),C27)</f>
        <v/>
      </c>
      <c r="D28" s="60">
        <f>D27+(Simulator!$B$5+D27*C28/12)/B28</f>
        <v/>
      </c>
      <c r="E28" s="60">
        <f>D28*B28</f>
        <v/>
      </c>
      <c r="F28" s="60">
        <f>D28*C28</f>
        <v/>
      </c>
    </row>
    <row r="29">
      <c r="A29" s="60" t="n">
        <v>25</v>
      </c>
      <c r="B29" s="60">
        <f>B28*(1+Simulator!$B$8)^(1/12)</f>
        <v/>
      </c>
      <c r="C29" s="60">
        <f>IF(AND(A29&gt;1,MOD(A29-1,12)=0),C28*(1+Simulator!$B$7),C28)</f>
        <v/>
      </c>
      <c r="D29" s="60">
        <f>D28+(Simulator!$B$5+D28*C29/12)/B29</f>
        <v/>
      </c>
      <c r="E29" s="60">
        <f>D29*B29</f>
        <v/>
      </c>
      <c r="F29" s="60">
        <f>D29*C29</f>
        <v/>
      </c>
    </row>
    <row r="30">
      <c r="A30" s="60" t="n">
        <v>26</v>
      </c>
      <c r="B30" s="60">
        <f>B29*(1+Simulator!$B$8)^(1/12)</f>
        <v/>
      </c>
      <c r="C30" s="60">
        <f>IF(AND(A30&gt;1,MOD(A30-1,12)=0),C29*(1+Simulator!$B$7),C29)</f>
        <v/>
      </c>
      <c r="D30" s="60">
        <f>D29+(Simulator!$B$5+D29*C30/12)/B30</f>
        <v/>
      </c>
      <c r="E30" s="60">
        <f>D30*B30</f>
        <v/>
      </c>
      <c r="F30" s="60">
        <f>D30*C30</f>
        <v/>
      </c>
    </row>
    <row r="31">
      <c r="A31" s="60" t="n">
        <v>27</v>
      </c>
      <c r="B31" s="60">
        <f>B30*(1+Simulator!$B$8)^(1/12)</f>
        <v/>
      </c>
      <c r="C31" s="60">
        <f>IF(AND(A31&gt;1,MOD(A31-1,12)=0),C30*(1+Simulator!$B$7),C30)</f>
        <v/>
      </c>
      <c r="D31" s="60">
        <f>D30+(Simulator!$B$5+D30*C31/12)/B31</f>
        <v/>
      </c>
      <c r="E31" s="60">
        <f>D31*B31</f>
        <v/>
      </c>
      <c r="F31" s="60">
        <f>D31*C31</f>
        <v/>
      </c>
    </row>
    <row r="32">
      <c r="A32" s="60" t="n">
        <v>28</v>
      </c>
      <c r="B32" s="60">
        <f>B31*(1+Simulator!$B$8)^(1/12)</f>
        <v/>
      </c>
      <c r="C32" s="60">
        <f>IF(AND(A32&gt;1,MOD(A32-1,12)=0),C31*(1+Simulator!$B$7),C31)</f>
        <v/>
      </c>
      <c r="D32" s="60">
        <f>D31+(Simulator!$B$5+D31*C32/12)/B32</f>
        <v/>
      </c>
      <c r="E32" s="60">
        <f>D32*B32</f>
        <v/>
      </c>
      <c r="F32" s="60">
        <f>D32*C32</f>
        <v/>
      </c>
    </row>
    <row r="33">
      <c r="A33" s="60" t="n">
        <v>29</v>
      </c>
      <c r="B33" s="60">
        <f>B32*(1+Simulator!$B$8)^(1/12)</f>
        <v/>
      </c>
      <c r="C33" s="60">
        <f>IF(AND(A33&gt;1,MOD(A33-1,12)=0),C32*(1+Simulator!$B$7),C32)</f>
        <v/>
      </c>
      <c r="D33" s="60">
        <f>D32+(Simulator!$B$5+D32*C33/12)/B33</f>
        <v/>
      </c>
      <c r="E33" s="60">
        <f>D33*B33</f>
        <v/>
      </c>
      <c r="F33" s="60">
        <f>D33*C33</f>
        <v/>
      </c>
    </row>
    <row r="34">
      <c r="A34" s="60" t="n">
        <v>30</v>
      </c>
      <c r="B34" s="60">
        <f>B33*(1+Simulator!$B$8)^(1/12)</f>
        <v/>
      </c>
      <c r="C34" s="60">
        <f>IF(AND(A34&gt;1,MOD(A34-1,12)=0),C33*(1+Simulator!$B$7),C33)</f>
        <v/>
      </c>
      <c r="D34" s="60">
        <f>D33+(Simulator!$B$5+D33*C34/12)/B34</f>
        <v/>
      </c>
      <c r="E34" s="60">
        <f>D34*B34</f>
        <v/>
      </c>
      <c r="F34" s="60">
        <f>D34*C34</f>
        <v/>
      </c>
    </row>
    <row r="35">
      <c r="A35" s="60" t="n">
        <v>31</v>
      </c>
      <c r="B35" s="60">
        <f>B34*(1+Simulator!$B$8)^(1/12)</f>
        <v/>
      </c>
      <c r="C35" s="60">
        <f>IF(AND(A35&gt;1,MOD(A35-1,12)=0),C34*(1+Simulator!$B$7),C34)</f>
        <v/>
      </c>
      <c r="D35" s="60">
        <f>D34+(Simulator!$B$5+D34*C35/12)/B35</f>
        <v/>
      </c>
      <c r="E35" s="60">
        <f>D35*B35</f>
        <v/>
      </c>
      <c r="F35" s="60">
        <f>D35*C35</f>
        <v/>
      </c>
    </row>
    <row r="36">
      <c r="A36" s="60" t="n">
        <v>32</v>
      </c>
      <c r="B36" s="60">
        <f>B35*(1+Simulator!$B$8)^(1/12)</f>
        <v/>
      </c>
      <c r="C36" s="60">
        <f>IF(AND(A36&gt;1,MOD(A36-1,12)=0),C35*(1+Simulator!$B$7),C35)</f>
        <v/>
      </c>
      <c r="D36" s="60">
        <f>D35+(Simulator!$B$5+D35*C36/12)/B36</f>
        <v/>
      </c>
      <c r="E36" s="60">
        <f>D36*B36</f>
        <v/>
      </c>
      <c r="F36" s="60">
        <f>D36*C36</f>
        <v/>
      </c>
    </row>
    <row r="37">
      <c r="A37" s="60" t="n">
        <v>33</v>
      </c>
      <c r="B37" s="60">
        <f>B36*(1+Simulator!$B$8)^(1/12)</f>
        <v/>
      </c>
      <c r="C37" s="60">
        <f>IF(AND(A37&gt;1,MOD(A37-1,12)=0),C36*(1+Simulator!$B$7),C36)</f>
        <v/>
      </c>
      <c r="D37" s="60">
        <f>D36+(Simulator!$B$5+D36*C37/12)/B37</f>
        <v/>
      </c>
      <c r="E37" s="60">
        <f>D37*B37</f>
        <v/>
      </c>
      <c r="F37" s="60">
        <f>D37*C37</f>
        <v/>
      </c>
    </row>
    <row r="38">
      <c r="A38" s="60" t="n">
        <v>34</v>
      </c>
      <c r="B38" s="60">
        <f>B37*(1+Simulator!$B$8)^(1/12)</f>
        <v/>
      </c>
      <c r="C38" s="60">
        <f>IF(AND(A38&gt;1,MOD(A38-1,12)=0),C37*(1+Simulator!$B$7),C37)</f>
        <v/>
      </c>
      <c r="D38" s="60">
        <f>D37+(Simulator!$B$5+D37*C38/12)/B38</f>
        <v/>
      </c>
      <c r="E38" s="60">
        <f>D38*B38</f>
        <v/>
      </c>
      <c r="F38" s="60">
        <f>D38*C38</f>
        <v/>
      </c>
    </row>
    <row r="39">
      <c r="A39" s="60" t="n">
        <v>35</v>
      </c>
      <c r="B39" s="60">
        <f>B38*(1+Simulator!$B$8)^(1/12)</f>
        <v/>
      </c>
      <c r="C39" s="60">
        <f>IF(AND(A39&gt;1,MOD(A39-1,12)=0),C38*(1+Simulator!$B$7),C38)</f>
        <v/>
      </c>
      <c r="D39" s="60">
        <f>D38+(Simulator!$B$5+D38*C39/12)/B39</f>
        <v/>
      </c>
      <c r="E39" s="60">
        <f>D39*B39</f>
        <v/>
      </c>
      <c r="F39" s="60">
        <f>D39*C39</f>
        <v/>
      </c>
    </row>
    <row r="40">
      <c r="A40" s="60" t="n">
        <v>36</v>
      </c>
      <c r="B40" s="60">
        <f>B39*(1+Simulator!$B$8)^(1/12)</f>
        <v/>
      </c>
      <c r="C40" s="60">
        <f>IF(AND(A40&gt;1,MOD(A40-1,12)=0),C39*(1+Simulator!$B$7),C39)</f>
        <v/>
      </c>
      <c r="D40" s="60">
        <f>D39+(Simulator!$B$5+D39*C40/12)/B40</f>
        <v/>
      </c>
      <c r="E40" s="60">
        <f>D40*B40</f>
        <v/>
      </c>
      <c r="F40" s="60">
        <f>D40*C40</f>
        <v/>
      </c>
    </row>
    <row r="41">
      <c r="A41" s="60" t="n">
        <v>37</v>
      </c>
      <c r="B41" s="60">
        <f>B40*(1+Simulator!$B$8)^(1/12)</f>
        <v/>
      </c>
      <c r="C41" s="60">
        <f>IF(AND(A41&gt;1,MOD(A41-1,12)=0),C40*(1+Simulator!$B$7),C40)</f>
        <v/>
      </c>
      <c r="D41" s="60">
        <f>D40+(Simulator!$B$5+D40*C41/12)/B41</f>
        <v/>
      </c>
      <c r="E41" s="60">
        <f>D41*B41</f>
        <v/>
      </c>
      <c r="F41" s="60">
        <f>D41*C41</f>
        <v/>
      </c>
    </row>
    <row r="42">
      <c r="A42" s="60" t="n">
        <v>38</v>
      </c>
      <c r="B42" s="60">
        <f>B41*(1+Simulator!$B$8)^(1/12)</f>
        <v/>
      </c>
      <c r="C42" s="60">
        <f>IF(AND(A42&gt;1,MOD(A42-1,12)=0),C41*(1+Simulator!$B$7),C41)</f>
        <v/>
      </c>
      <c r="D42" s="60">
        <f>D41+(Simulator!$B$5+D41*C42/12)/B42</f>
        <v/>
      </c>
      <c r="E42" s="60">
        <f>D42*B42</f>
        <v/>
      </c>
      <c r="F42" s="60">
        <f>D42*C42</f>
        <v/>
      </c>
    </row>
    <row r="43">
      <c r="A43" s="60" t="n">
        <v>39</v>
      </c>
      <c r="B43" s="60">
        <f>B42*(1+Simulator!$B$8)^(1/12)</f>
        <v/>
      </c>
      <c r="C43" s="60">
        <f>IF(AND(A43&gt;1,MOD(A43-1,12)=0),C42*(1+Simulator!$B$7),C42)</f>
        <v/>
      </c>
      <c r="D43" s="60">
        <f>D42+(Simulator!$B$5+D42*C43/12)/B43</f>
        <v/>
      </c>
      <c r="E43" s="60">
        <f>D43*B43</f>
        <v/>
      </c>
      <c r="F43" s="60">
        <f>D43*C43</f>
        <v/>
      </c>
    </row>
    <row r="44">
      <c r="A44" s="60" t="n">
        <v>40</v>
      </c>
      <c r="B44" s="60">
        <f>B43*(1+Simulator!$B$8)^(1/12)</f>
        <v/>
      </c>
      <c r="C44" s="60">
        <f>IF(AND(A44&gt;1,MOD(A44-1,12)=0),C43*(1+Simulator!$B$7),C43)</f>
        <v/>
      </c>
      <c r="D44" s="60">
        <f>D43+(Simulator!$B$5+D43*C44/12)/B44</f>
        <v/>
      </c>
      <c r="E44" s="60">
        <f>D44*B44</f>
        <v/>
      </c>
      <c r="F44" s="60">
        <f>D44*C44</f>
        <v/>
      </c>
    </row>
    <row r="45">
      <c r="A45" s="60" t="n">
        <v>41</v>
      </c>
      <c r="B45" s="60">
        <f>B44*(1+Simulator!$B$8)^(1/12)</f>
        <v/>
      </c>
      <c r="C45" s="60">
        <f>IF(AND(A45&gt;1,MOD(A45-1,12)=0),C44*(1+Simulator!$B$7),C44)</f>
        <v/>
      </c>
      <c r="D45" s="60">
        <f>D44+(Simulator!$B$5+D44*C45/12)/B45</f>
        <v/>
      </c>
      <c r="E45" s="60">
        <f>D45*B45</f>
        <v/>
      </c>
      <c r="F45" s="60">
        <f>D45*C45</f>
        <v/>
      </c>
    </row>
    <row r="46">
      <c r="A46" s="60" t="n">
        <v>42</v>
      </c>
      <c r="B46" s="60">
        <f>B45*(1+Simulator!$B$8)^(1/12)</f>
        <v/>
      </c>
      <c r="C46" s="60">
        <f>IF(AND(A46&gt;1,MOD(A46-1,12)=0),C45*(1+Simulator!$B$7),C45)</f>
        <v/>
      </c>
      <c r="D46" s="60">
        <f>D45+(Simulator!$B$5+D45*C46/12)/B46</f>
        <v/>
      </c>
      <c r="E46" s="60">
        <f>D46*B46</f>
        <v/>
      </c>
      <c r="F46" s="60">
        <f>D46*C46</f>
        <v/>
      </c>
    </row>
    <row r="47">
      <c r="A47" s="60" t="n">
        <v>43</v>
      </c>
      <c r="B47" s="60">
        <f>B46*(1+Simulator!$B$8)^(1/12)</f>
        <v/>
      </c>
      <c r="C47" s="60">
        <f>IF(AND(A47&gt;1,MOD(A47-1,12)=0),C46*(1+Simulator!$B$7),C46)</f>
        <v/>
      </c>
      <c r="D47" s="60">
        <f>D46+(Simulator!$B$5+D46*C47/12)/B47</f>
        <v/>
      </c>
      <c r="E47" s="60">
        <f>D47*B47</f>
        <v/>
      </c>
      <c r="F47" s="60">
        <f>D47*C47</f>
        <v/>
      </c>
    </row>
    <row r="48">
      <c r="A48" s="60" t="n">
        <v>44</v>
      </c>
      <c r="B48" s="60">
        <f>B47*(1+Simulator!$B$8)^(1/12)</f>
        <v/>
      </c>
      <c r="C48" s="60">
        <f>IF(AND(A48&gt;1,MOD(A48-1,12)=0),C47*(1+Simulator!$B$7),C47)</f>
        <v/>
      </c>
      <c r="D48" s="60">
        <f>D47+(Simulator!$B$5+D47*C48/12)/B48</f>
        <v/>
      </c>
      <c r="E48" s="60">
        <f>D48*B48</f>
        <v/>
      </c>
      <c r="F48" s="60">
        <f>D48*C48</f>
        <v/>
      </c>
    </row>
    <row r="49">
      <c r="A49" s="60" t="n">
        <v>45</v>
      </c>
      <c r="B49" s="60">
        <f>B48*(1+Simulator!$B$8)^(1/12)</f>
        <v/>
      </c>
      <c r="C49" s="60">
        <f>IF(AND(A49&gt;1,MOD(A49-1,12)=0),C48*(1+Simulator!$B$7),C48)</f>
        <v/>
      </c>
      <c r="D49" s="60">
        <f>D48+(Simulator!$B$5+D48*C49/12)/B49</f>
        <v/>
      </c>
      <c r="E49" s="60">
        <f>D49*B49</f>
        <v/>
      </c>
      <c r="F49" s="60">
        <f>D49*C49</f>
        <v/>
      </c>
    </row>
    <row r="50">
      <c r="A50" s="60" t="n">
        <v>46</v>
      </c>
      <c r="B50" s="60">
        <f>B49*(1+Simulator!$B$8)^(1/12)</f>
        <v/>
      </c>
      <c r="C50" s="60">
        <f>IF(AND(A50&gt;1,MOD(A50-1,12)=0),C49*(1+Simulator!$B$7),C49)</f>
        <v/>
      </c>
      <c r="D50" s="60">
        <f>D49+(Simulator!$B$5+D49*C50/12)/B50</f>
        <v/>
      </c>
      <c r="E50" s="60">
        <f>D50*B50</f>
        <v/>
      </c>
      <c r="F50" s="60">
        <f>D50*C50</f>
        <v/>
      </c>
    </row>
    <row r="51">
      <c r="A51" s="60" t="n">
        <v>47</v>
      </c>
      <c r="B51" s="60">
        <f>B50*(1+Simulator!$B$8)^(1/12)</f>
        <v/>
      </c>
      <c r="C51" s="60">
        <f>IF(AND(A51&gt;1,MOD(A51-1,12)=0),C50*(1+Simulator!$B$7),C50)</f>
        <v/>
      </c>
      <c r="D51" s="60">
        <f>D50+(Simulator!$B$5+D50*C51/12)/B51</f>
        <v/>
      </c>
      <c r="E51" s="60">
        <f>D51*B51</f>
        <v/>
      </c>
      <c r="F51" s="60">
        <f>D51*C51</f>
        <v/>
      </c>
    </row>
    <row r="52">
      <c r="A52" s="60" t="n">
        <v>48</v>
      </c>
      <c r="B52" s="60">
        <f>B51*(1+Simulator!$B$8)^(1/12)</f>
        <v/>
      </c>
      <c r="C52" s="60">
        <f>IF(AND(A52&gt;1,MOD(A52-1,12)=0),C51*(1+Simulator!$B$7),C51)</f>
        <v/>
      </c>
      <c r="D52" s="60">
        <f>D51+(Simulator!$B$5+D51*C52/12)/B52</f>
        <v/>
      </c>
      <c r="E52" s="60">
        <f>D52*B52</f>
        <v/>
      </c>
      <c r="F52" s="60">
        <f>D52*C52</f>
        <v/>
      </c>
    </row>
    <row r="53">
      <c r="A53" s="60" t="n">
        <v>49</v>
      </c>
      <c r="B53" s="60">
        <f>B52*(1+Simulator!$B$8)^(1/12)</f>
        <v/>
      </c>
      <c r="C53" s="60">
        <f>IF(AND(A53&gt;1,MOD(A53-1,12)=0),C52*(1+Simulator!$B$7),C52)</f>
        <v/>
      </c>
      <c r="D53" s="60">
        <f>D52+(Simulator!$B$5+D52*C53/12)/B53</f>
        <v/>
      </c>
      <c r="E53" s="60">
        <f>D53*B53</f>
        <v/>
      </c>
      <c r="F53" s="60">
        <f>D53*C53</f>
        <v/>
      </c>
    </row>
    <row r="54">
      <c r="A54" s="60" t="n">
        <v>50</v>
      </c>
      <c r="B54" s="60">
        <f>B53*(1+Simulator!$B$8)^(1/12)</f>
        <v/>
      </c>
      <c r="C54" s="60">
        <f>IF(AND(A54&gt;1,MOD(A54-1,12)=0),C53*(1+Simulator!$B$7),C53)</f>
        <v/>
      </c>
      <c r="D54" s="60">
        <f>D53+(Simulator!$B$5+D53*C54/12)/B54</f>
        <v/>
      </c>
      <c r="E54" s="60">
        <f>D54*B54</f>
        <v/>
      </c>
      <c r="F54" s="60">
        <f>D54*C54</f>
        <v/>
      </c>
    </row>
    <row r="55">
      <c r="A55" s="60" t="n">
        <v>51</v>
      </c>
      <c r="B55" s="60">
        <f>B54*(1+Simulator!$B$8)^(1/12)</f>
        <v/>
      </c>
      <c r="C55" s="60">
        <f>IF(AND(A55&gt;1,MOD(A55-1,12)=0),C54*(1+Simulator!$B$7),C54)</f>
        <v/>
      </c>
      <c r="D55" s="60">
        <f>D54+(Simulator!$B$5+D54*C55/12)/B55</f>
        <v/>
      </c>
      <c r="E55" s="60">
        <f>D55*B55</f>
        <v/>
      </c>
      <c r="F55" s="60">
        <f>D55*C55</f>
        <v/>
      </c>
    </row>
    <row r="56">
      <c r="A56" s="60" t="n">
        <v>52</v>
      </c>
      <c r="B56" s="60">
        <f>B55*(1+Simulator!$B$8)^(1/12)</f>
        <v/>
      </c>
      <c r="C56" s="60">
        <f>IF(AND(A56&gt;1,MOD(A56-1,12)=0),C55*(1+Simulator!$B$7),C55)</f>
        <v/>
      </c>
      <c r="D56" s="60">
        <f>D55+(Simulator!$B$5+D55*C56/12)/B56</f>
        <v/>
      </c>
      <c r="E56" s="60">
        <f>D56*B56</f>
        <v/>
      </c>
      <c r="F56" s="60">
        <f>D56*C56</f>
        <v/>
      </c>
    </row>
    <row r="57">
      <c r="A57" s="60" t="n">
        <v>53</v>
      </c>
      <c r="B57" s="60">
        <f>B56*(1+Simulator!$B$8)^(1/12)</f>
        <v/>
      </c>
      <c r="C57" s="60">
        <f>IF(AND(A57&gt;1,MOD(A57-1,12)=0),C56*(1+Simulator!$B$7),C56)</f>
        <v/>
      </c>
      <c r="D57" s="60">
        <f>D56+(Simulator!$B$5+D56*C57/12)/B57</f>
        <v/>
      </c>
      <c r="E57" s="60">
        <f>D57*B57</f>
        <v/>
      </c>
      <c r="F57" s="60">
        <f>D57*C57</f>
        <v/>
      </c>
    </row>
    <row r="58">
      <c r="A58" s="60" t="n">
        <v>54</v>
      </c>
      <c r="B58" s="60">
        <f>B57*(1+Simulator!$B$8)^(1/12)</f>
        <v/>
      </c>
      <c r="C58" s="60">
        <f>IF(AND(A58&gt;1,MOD(A58-1,12)=0),C57*(1+Simulator!$B$7),C57)</f>
        <v/>
      </c>
      <c r="D58" s="60">
        <f>D57+(Simulator!$B$5+D57*C58/12)/B58</f>
        <v/>
      </c>
      <c r="E58" s="60">
        <f>D58*B58</f>
        <v/>
      </c>
      <c r="F58" s="60">
        <f>D58*C58</f>
        <v/>
      </c>
    </row>
    <row r="59">
      <c r="A59" s="60" t="n">
        <v>55</v>
      </c>
      <c r="B59" s="60">
        <f>B58*(1+Simulator!$B$8)^(1/12)</f>
        <v/>
      </c>
      <c r="C59" s="60">
        <f>IF(AND(A59&gt;1,MOD(A59-1,12)=0),C58*(1+Simulator!$B$7),C58)</f>
        <v/>
      </c>
      <c r="D59" s="60">
        <f>D58+(Simulator!$B$5+D58*C59/12)/B59</f>
        <v/>
      </c>
      <c r="E59" s="60">
        <f>D59*B59</f>
        <v/>
      </c>
      <c r="F59" s="60">
        <f>D59*C59</f>
        <v/>
      </c>
    </row>
    <row r="60">
      <c r="A60" s="60" t="n">
        <v>56</v>
      </c>
      <c r="B60" s="60">
        <f>B59*(1+Simulator!$B$8)^(1/12)</f>
        <v/>
      </c>
      <c r="C60" s="60">
        <f>IF(AND(A60&gt;1,MOD(A60-1,12)=0),C59*(1+Simulator!$B$7),C59)</f>
        <v/>
      </c>
      <c r="D60" s="60">
        <f>D59+(Simulator!$B$5+D59*C60/12)/B60</f>
        <v/>
      </c>
      <c r="E60" s="60">
        <f>D60*B60</f>
        <v/>
      </c>
      <c r="F60" s="60">
        <f>D60*C60</f>
        <v/>
      </c>
    </row>
    <row r="61">
      <c r="A61" s="60" t="n">
        <v>57</v>
      </c>
      <c r="B61" s="60">
        <f>B60*(1+Simulator!$B$8)^(1/12)</f>
        <v/>
      </c>
      <c r="C61" s="60">
        <f>IF(AND(A61&gt;1,MOD(A61-1,12)=0),C60*(1+Simulator!$B$7),C60)</f>
        <v/>
      </c>
      <c r="D61" s="60">
        <f>D60+(Simulator!$B$5+D60*C61/12)/B61</f>
        <v/>
      </c>
      <c r="E61" s="60">
        <f>D61*B61</f>
        <v/>
      </c>
      <c r="F61" s="60">
        <f>D61*C61</f>
        <v/>
      </c>
    </row>
    <row r="62">
      <c r="A62" s="60" t="n">
        <v>58</v>
      </c>
      <c r="B62" s="60">
        <f>B61*(1+Simulator!$B$8)^(1/12)</f>
        <v/>
      </c>
      <c r="C62" s="60">
        <f>IF(AND(A62&gt;1,MOD(A62-1,12)=0),C61*(1+Simulator!$B$7),C61)</f>
        <v/>
      </c>
      <c r="D62" s="60">
        <f>D61+(Simulator!$B$5+D61*C62/12)/B62</f>
        <v/>
      </c>
      <c r="E62" s="60">
        <f>D62*B62</f>
        <v/>
      </c>
      <c r="F62" s="60">
        <f>D62*C62</f>
        <v/>
      </c>
    </row>
    <row r="63">
      <c r="A63" s="60" t="n">
        <v>59</v>
      </c>
      <c r="B63" s="60">
        <f>B62*(1+Simulator!$B$8)^(1/12)</f>
        <v/>
      </c>
      <c r="C63" s="60">
        <f>IF(AND(A63&gt;1,MOD(A63-1,12)=0),C62*(1+Simulator!$B$7),C62)</f>
        <v/>
      </c>
      <c r="D63" s="60">
        <f>D62+(Simulator!$B$5+D62*C63/12)/B63</f>
        <v/>
      </c>
      <c r="E63" s="60">
        <f>D63*B63</f>
        <v/>
      </c>
      <c r="F63" s="60">
        <f>D63*C63</f>
        <v/>
      </c>
    </row>
    <row r="64">
      <c r="A64" s="60" t="n">
        <v>60</v>
      </c>
      <c r="B64" s="60">
        <f>B63*(1+Simulator!$B$8)^(1/12)</f>
        <v/>
      </c>
      <c r="C64" s="60">
        <f>IF(AND(A64&gt;1,MOD(A64-1,12)=0),C63*(1+Simulator!$B$7),C63)</f>
        <v/>
      </c>
      <c r="D64" s="60">
        <f>D63+(Simulator!$B$5+D63*C64/12)/B64</f>
        <v/>
      </c>
      <c r="E64" s="60">
        <f>D64*B64</f>
        <v/>
      </c>
      <c r="F64" s="60">
        <f>D64*C64</f>
        <v/>
      </c>
    </row>
    <row r="65">
      <c r="A65" s="60" t="n">
        <v>61</v>
      </c>
      <c r="B65" s="60">
        <f>B64*(1+Simulator!$B$8)^(1/12)</f>
        <v/>
      </c>
      <c r="C65" s="60">
        <f>IF(AND(A65&gt;1,MOD(A65-1,12)=0),C64*(1+Simulator!$B$7),C64)</f>
        <v/>
      </c>
      <c r="D65" s="60">
        <f>D64+(Simulator!$B$5+D64*C65/12)/B65</f>
        <v/>
      </c>
      <c r="E65" s="60">
        <f>D65*B65</f>
        <v/>
      </c>
      <c r="F65" s="60">
        <f>D65*C65</f>
        <v/>
      </c>
    </row>
    <row r="66">
      <c r="A66" s="60" t="n">
        <v>62</v>
      </c>
      <c r="B66" s="60">
        <f>B65*(1+Simulator!$B$8)^(1/12)</f>
        <v/>
      </c>
      <c r="C66" s="60">
        <f>IF(AND(A66&gt;1,MOD(A66-1,12)=0),C65*(1+Simulator!$B$7),C65)</f>
        <v/>
      </c>
      <c r="D66" s="60">
        <f>D65+(Simulator!$B$5+D65*C66/12)/B66</f>
        <v/>
      </c>
      <c r="E66" s="60">
        <f>D66*B66</f>
        <v/>
      </c>
      <c r="F66" s="60">
        <f>D66*C66</f>
        <v/>
      </c>
    </row>
    <row r="67">
      <c r="A67" s="60" t="n">
        <v>63</v>
      </c>
      <c r="B67" s="60">
        <f>B66*(1+Simulator!$B$8)^(1/12)</f>
        <v/>
      </c>
      <c r="C67" s="60">
        <f>IF(AND(A67&gt;1,MOD(A67-1,12)=0),C66*(1+Simulator!$B$7),C66)</f>
        <v/>
      </c>
      <c r="D67" s="60">
        <f>D66+(Simulator!$B$5+D66*C67/12)/B67</f>
        <v/>
      </c>
      <c r="E67" s="60">
        <f>D67*B67</f>
        <v/>
      </c>
      <c r="F67" s="60">
        <f>D67*C67</f>
        <v/>
      </c>
    </row>
    <row r="68">
      <c r="A68" s="60" t="n">
        <v>64</v>
      </c>
      <c r="B68" s="60">
        <f>B67*(1+Simulator!$B$8)^(1/12)</f>
        <v/>
      </c>
      <c r="C68" s="60">
        <f>IF(AND(A68&gt;1,MOD(A68-1,12)=0),C67*(1+Simulator!$B$7),C67)</f>
        <v/>
      </c>
      <c r="D68" s="60">
        <f>D67+(Simulator!$B$5+D67*C68/12)/B68</f>
        <v/>
      </c>
      <c r="E68" s="60">
        <f>D68*B68</f>
        <v/>
      </c>
      <c r="F68" s="60">
        <f>D68*C68</f>
        <v/>
      </c>
    </row>
    <row r="69">
      <c r="A69" s="60" t="n">
        <v>65</v>
      </c>
      <c r="B69" s="60">
        <f>B68*(1+Simulator!$B$8)^(1/12)</f>
        <v/>
      </c>
      <c r="C69" s="60">
        <f>IF(AND(A69&gt;1,MOD(A69-1,12)=0),C68*(1+Simulator!$B$7),C68)</f>
        <v/>
      </c>
      <c r="D69" s="60">
        <f>D68+(Simulator!$B$5+D68*C69/12)/B69</f>
        <v/>
      </c>
      <c r="E69" s="60">
        <f>D69*B69</f>
        <v/>
      </c>
      <c r="F69" s="60">
        <f>D69*C69</f>
        <v/>
      </c>
    </row>
    <row r="70">
      <c r="A70" s="60" t="n">
        <v>66</v>
      </c>
      <c r="B70" s="60">
        <f>B69*(1+Simulator!$B$8)^(1/12)</f>
        <v/>
      </c>
      <c r="C70" s="60">
        <f>IF(AND(A70&gt;1,MOD(A70-1,12)=0),C69*(1+Simulator!$B$7),C69)</f>
        <v/>
      </c>
      <c r="D70" s="60">
        <f>D69+(Simulator!$B$5+D69*C70/12)/B70</f>
        <v/>
      </c>
      <c r="E70" s="60">
        <f>D70*B70</f>
        <v/>
      </c>
      <c r="F70" s="60">
        <f>D70*C70</f>
        <v/>
      </c>
    </row>
    <row r="71">
      <c r="A71" s="60" t="n">
        <v>67</v>
      </c>
      <c r="B71" s="60">
        <f>B70*(1+Simulator!$B$8)^(1/12)</f>
        <v/>
      </c>
      <c r="C71" s="60">
        <f>IF(AND(A71&gt;1,MOD(A71-1,12)=0),C70*(1+Simulator!$B$7),C70)</f>
        <v/>
      </c>
      <c r="D71" s="60">
        <f>D70+(Simulator!$B$5+D70*C71/12)/B71</f>
        <v/>
      </c>
      <c r="E71" s="60">
        <f>D71*B71</f>
        <v/>
      </c>
      <c r="F71" s="60">
        <f>D71*C71</f>
        <v/>
      </c>
    </row>
    <row r="72">
      <c r="A72" s="60" t="n">
        <v>68</v>
      </c>
      <c r="B72" s="60">
        <f>B71*(1+Simulator!$B$8)^(1/12)</f>
        <v/>
      </c>
      <c r="C72" s="60">
        <f>IF(AND(A72&gt;1,MOD(A72-1,12)=0),C71*(1+Simulator!$B$7),C71)</f>
        <v/>
      </c>
      <c r="D72" s="60">
        <f>D71+(Simulator!$B$5+D71*C72/12)/B72</f>
        <v/>
      </c>
      <c r="E72" s="60">
        <f>D72*B72</f>
        <v/>
      </c>
      <c r="F72" s="60">
        <f>D72*C72</f>
        <v/>
      </c>
    </row>
    <row r="73">
      <c r="A73" s="60" t="n">
        <v>69</v>
      </c>
      <c r="B73" s="60">
        <f>B72*(1+Simulator!$B$8)^(1/12)</f>
        <v/>
      </c>
      <c r="C73" s="60">
        <f>IF(AND(A73&gt;1,MOD(A73-1,12)=0),C72*(1+Simulator!$B$7),C72)</f>
        <v/>
      </c>
      <c r="D73" s="60">
        <f>D72+(Simulator!$B$5+D72*C73/12)/B73</f>
        <v/>
      </c>
      <c r="E73" s="60">
        <f>D73*B73</f>
        <v/>
      </c>
      <c r="F73" s="60">
        <f>D73*C73</f>
        <v/>
      </c>
    </row>
    <row r="74">
      <c r="A74" s="60" t="n">
        <v>70</v>
      </c>
      <c r="B74" s="60">
        <f>B73*(1+Simulator!$B$8)^(1/12)</f>
        <v/>
      </c>
      <c r="C74" s="60">
        <f>IF(AND(A74&gt;1,MOD(A74-1,12)=0),C73*(1+Simulator!$B$7),C73)</f>
        <v/>
      </c>
      <c r="D74" s="60">
        <f>D73+(Simulator!$B$5+D73*C74/12)/B74</f>
        <v/>
      </c>
      <c r="E74" s="60">
        <f>D74*B74</f>
        <v/>
      </c>
      <c r="F74" s="60">
        <f>D74*C74</f>
        <v/>
      </c>
    </row>
    <row r="75">
      <c r="A75" s="60" t="n">
        <v>71</v>
      </c>
      <c r="B75" s="60">
        <f>B74*(1+Simulator!$B$8)^(1/12)</f>
        <v/>
      </c>
      <c r="C75" s="60">
        <f>IF(AND(A75&gt;1,MOD(A75-1,12)=0),C74*(1+Simulator!$B$7),C74)</f>
        <v/>
      </c>
      <c r="D75" s="60">
        <f>D74+(Simulator!$B$5+D74*C75/12)/B75</f>
        <v/>
      </c>
      <c r="E75" s="60">
        <f>D75*B75</f>
        <v/>
      </c>
      <c r="F75" s="60">
        <f>D75*C75</f>
        <v/>
      </c>
    </row>
    <row r="76">
      <c r="A76" s="60" t="n">
        <v>72</v>
      </c>
      <c r="B76" s="60">
        <f>B75*(1+Simulator!$B$8)^(1/12)</f>
        <v/>
      </c>
      <c r="C76" s="60">
        <f>IF(AND(A76&gt;1,MOD(A76-1,12)=0),C75*(1+Simulator!$B$7),C75)</f>
        <v/>
      </c>
      <c r="D76" s="60">
        <f>D75+(Simulator!$B$5+D75*C76/12)/B76</f>
        <v/>
      </c>
      <c r="E76" s="60">
        <f>D76*B76</f>
        <v/>
      </c>
      <c r="F76" s="60">
        <f>D76*C76</f>
        <v/>
      </c>
    </row>
    <row r="77">
      <c r="A77" s="60" t="n">
        <v>73</v>
      </c>
      <c r="B77" s="60">
        <f>B76*(1+Simulator!$B$8)^(1/12)</f>
        <v/>
      </c>
      <c r="C77" s="60">
        <f>IF(AND(A77&gt;1,MOD(A77-1,12)=0),C76*(1+Simulator!$B$7),C76)</f>
        <v/>
      </c>
      <c r="D77" s="60">
        <f>D76+(Simulator!$B$5+D76*C77/12)/B77</f>
        <v/>
      </c>
      <c r="E77" s="60">
        <f>D77*B77</f>
        <v/>
      </c>
      <c r="F77" s="60">
        <f>D77*C77</f>
        <v/>
      </c>
    </row>
    <row r="78">
      <c r="A78" s="60" t="n">
        <v>74</v>
      </c>
      <c r="B78" s="60">
        <f>B77*(1+Simulator!$B$8)^(1/12)</f>
        <v/>
      </c>
      <c r="C78" s="60">
        <f>IF(AND(A78&gt;1,MOD(A78-1,12)=0),C77*(1+Simulator!$B$7),C77)</f>
        <v/>
      </c>
      <c r="D78" s="60">
        <f>D77+(Simulator!$B$5+D77*C78/12)/B78</f>
        <v/>
      </c>
      <c r="E78" s="60">
        <f>D78*B78</f>
        <v/>
      </c>
      <c r="F78" s="60">
        <f>D78*C78</f>
        <v/>
      </c>
    </row>
    <row r="79">
      <c r="A79" s="60" t="n">
        <v>75</v>
      </c>
      <c r="B79" s="60">
        <f>B78*(1+Simulator!$B$8)^(1/12)</f>
        <v/>
      </c>
      <c r="C79" s="60">
        <f>IF(AND(A79&gt;1,MOD(A79-1,12)=0),C78*(1+Simulator!$B$7),C78)</f>
        <v/>
      </c>
      <c r="D79" s="60">
        <f>D78+(Simulator!$B$5+D78*C79/12)/B79</f>
        <v/>
      </c>
      <c r="E79" s="60">
        <f>D79*B79</f>
        <v/>
      </c>
      <c r="F79" s="60">
        <f>D79*C79</f>
        <v/>
      </c>
    </row>
    <row r="80">
      <c r="A80" s="60" t="n">
        <v>76</v>
      </c>
      <c r="B80" s="60">
        <f>B79*(1+Simulator!$B$8)^(1/12)</f>
        <v/>
      </c>
      <c r="C80" s="60">
        <f>IF(AND(A80&gt;1,MOD(A80-1,12)=0),C79*(1+Simulator!$B$7),C79)</f>
        <v/>
      </c>
      <c r="D80" s="60">
        <f>D79+(Simulator!$B$5+D79*C80/12)/B80</f>
        <v/>
      </c>
      <c r="E80" s="60">
        <f>D80*B80</f>
        <v/>
      </c>
      <c r="F80" s="60">
        <f>D80*C80</f>
        <v/>
      </c>
    </row>
    <row r="81">
      <c r="A81" s="60" t="n">
        <v>77</v>
      </c>
      <c r="B81" s="60">
        <f>B80*(1+Simulator!$B$8)^(1/12)</f>
        <v/>
      </c>
      <c r="C81" s="60">
        <f>IF(AND(A81&gt;1,MOD(A81-1,12)=0),C80*(1+Simulator!$B$7),C80)</f>
        <v/>
      </c>
      <c r="D81" s="60">
        <f>D80+(Simulator!$B$5+D80*C81/12)/B81</f>
        <v/>
      </c>
      <c r="E81" s="60">
        <f>D81*B81</f>
        <v/>
      </c>
      <c r="F81" s="60">
        <f>D81*C81</f>
        <v/>
      </c>
    </row>
    <row r="82">
      <c r="A82" s="60" t="n">
        <v>78</v>
      </c>
      <c r="B82" s="60">
        <f>B81*(1+Simulator!$B$8)^(1/12)</f>
        <v/>
      </c>
      <c r="C82" s="60">
        <f>IF(AND(A82&gt;1,MOD(A82-1,12)=0),C81*(1+Simulator!$B$7),C81)</f>
        <v/>
      </c>
      <c r="D82" s="60">
        <f>D81+(Simulator!$B$5+D81*C82/12)/B82</f>
        <v/>
      </c>
      <c r="E82" s="60">
        <f>D82*B82</f>
        <v/>
      </c>
      <c r="F82" s="60">
        <f>D82*C82</f>
        <v/>
      </c>
    </row>
    <row r="83">
      <c r="A83" s="60" t="n">
        <v>79</v>
      </c>
      <c r="B83" s="60">
        <f>B82*(1+Simulator!$B$8)^(1/12)</f>
        <v/>
      </c>
      <c r="C83" s="60">
        <f>IF(AND(A83&gt;1,MOD(A83-1,12)=0),C82*(1+Simulator!$B$7),C82)</f>
        <v/>
      </c>
      <c r="D83" s="60">
        <f>D82+(Simulator!$B$5+D82*C83/12)/B83</f>
        <v/>
      </c>
      <c r="E83" s="60">
        <f>D83*B83</f>
        <v/>
      </c>
      <c r="F83" s="60">
        <f>D83*C83</f>
        <v/>
      </c>
    </row>
    <row r="84">
      <c r="A84" s="60" t="n">
        <v>80</v>
      </c>
      <c r="B84" s="60">
        <f>B83*(1+Simulator!$B$8)^(1/12)</f>
        <v/>
      </c>
      <c r="C84" s="60">
        <f>IF(AND(A84&gt;1,MOD(A84-1,12)=0),C83*(1+Simulator!$B$7),C83)</f>
        <v/>
      </c>
      <c r="D84" s="60">
        <f>D83+(Simulator!$B$5+D83*C84/12)/B84</f>
        <v/>
      </c>
      <c r="E84" s="60">
        <f>D84*B84</f>
        <v/>
      </c>
      <c r="F84" s="60">
        <f>D84*C84</f>
        <v/>
      </c>
    </row>
    <row r="85">
      <c r="A85" s="60" t="n">
        <v>81</v>
      </c>
      <c r="B85" s="60">
        <f>B84*(1+Simulator!$B$8)^(1/12)</f>
        <v/>
      </c>
      <c r="C85" s="60">
        <f>IF(AND(A85&gt;1,MOD(A85-1,12)=0),C84*(1+Simulator!$B$7),C84)</f>
        <v/>
      </c>
      <c r="D85" s="60">
        <f>D84+(Simulator!$B$5+D84*C85/12)/B85</f>
        <v/>
      </c>
      <c r="E85" s="60">
        <f>D85*B85</f>
        <v/>
      </c>
      <c r="F85" s="60">
        <f>D85*C85</f>
        <v/>
      </c>
    </row>
    <row r="86">
      <c r="A86" s="60" t="n">
        <v>82</v>
      </c>
      <c r="B86" s="60">
        <f>B85*(1+Simulator!$B$8)^(1/12)</f>
        <v/>
      </c>
      <c r="C86" s="60">
        <f>IF(AND(A86&gt;1,MOD(A86-1,12)=0),C85*(1+Simulator!$B$7),C85)</f>
        <v/>
      </c>
      <c r="D86" s="60">
        <f>D85+(Simulator!$B$5+D85*C86/12)/B86</f>
        <v/>
      </c>
      <c r="E86" s="60">
        <f>D86*B86</f>
        <v/>
      </c>
      <c r="F86" s="60">
        <f>D86*C86</f>
        <v/>
      </c>
    </row>
    <row r="87">
      <c r="A87" s="60" t="n">
        <v>83</v>
      </c>
      <c r="B87" s="60">
        <f>B86*(1+Simulator!$B$8)^(1/12)</f>
        <v/>
      </c>
      <c r="C87" s="60">
        <f>IF(AND(A87&gt;1,MOD(A87-1,12)=0),C86*(1+Simulator!$B$7),C86)</f>
        <v/>
      </c>
      <c r="D87" s="60">
        <f>D86+(Simulator!$B$5+D86*C87/12)/B87</f>
        <v/>
      </c>
      <c r="E87" s="60">
        <f>D87*B87</f>
        <v/>
      </c>
      <c r="F87" s="60">
        <f>D87*C87</f>
        <v/>
      </c>
    </row>
    <row r="88">
      <c r="A88" s="60" t="n">
        <v>84</v>
      </c>
      <c r="B88" s="60">
        <f>B87*(1+Simulator!$B$8)^(1/12)</f>
        <v/>
      </c>
      <c r="C88" s="60">
        <f>IF(AND(A88&gt;1,MOD(A88-1,12)=0),C87*(1+Simulator!$B$7),C87)</f>
        <v/>
      </c>
      <c r="D88" s="60">
        <f>D87+(Simulator!$B$5+D87*C88/12)/B88</f>
        <v/>
      </c>
      <c r="E88" s="60">
        <f>D88*B88</f>
        <v/>
      </c>
      <c r="F88" s="60">
        <f>D88*C88</f>
        <v/>
      </c>
    </row>
    <row r="89">
      <c r="A89" s="60" t="n">
        <v>85</v>
      </c>
      <c r="B89" s="60">
        <f>B88*(1+Simulator!$B$8)^(1/12)</f>
        <v/>
      </c>
      <c r="C89" s="60">
        <f>IF(AND(A89&gt;1,MOD(A89-1,12)=0),C88*(1+Simulator!$B$7),C88)</f>
        <v/>
      </c>
      <c r="D89" s="60">
        <f>D88+(Simulator!$B$5+D88*C89/12)/B89</f>
        <v/>
      </c>
      <c r="E89" s="60">
        <f>D89*B89</f>
        <v/>
      </c>
      <c r="F89" s="60">
        <f>D89*C89</f>
        <v/>
      </c>
    </row>
    <row r="90">
      <c r="A90" s="60" t="n">
        <v>86</v>
      </c>
      <c r="B90" s="60">
        <f>B89*(1+Simulator!$B$8)^(1/12)</f>
        <v/>
      </c>
      <c r="C90" s="60">
        <f>IF(AND(A90&gt;1,MOD(A90-1,12)=0),C89*(1+Simulator!$B$7),C89)</f>
        <v/>
      </c>
      <c r="D90" s="60">
        <f>D89+(Simulator!$B$5+D89*C90/12)/B90</f>
        <v/>
      </c>
      <c r="E90" s="60">
        <f>D90*B90</f>
        <v/>
      </c>
      <c r="F90" s="60">
        <f>D90*C90</f>
        <v/>
      </c>
    </row>
    <row r="91">
      <c r="A91" s="60" t="n">
        <v>87</v>
      </c>
      <c r="B91" s="60">
        <f>B90*(1+Simulator!$B$8)^(1/12)</f>
        <v/>
      </c>
      <c r="C91" s="60">
        <f>IF(AND(A91&gt;1,MOD(A91-1,12)=0),C90*(1+Simulator!$B$7),C90)</f>
        <v/>
      </c>
      <c r="D91" s="60">
        <f>D90+(Simulator!$B$5+D90*C91/12)/B91</f>
        <v/>
      </c>
      <c r="E91" s="60">
        <f>D91*B91</f>
        <v/>
      </c>
      <c r="F91" s="60">
        <f>D91*C91</f>
        <v/>
      </c>
    </row>
    <row r="92">
      <c r="A92" s="60" t="n">
        <v>88</v>
      </c>
      <c r="B92" s="60">
        <f>B91*(1+Simulator!$B$8)^(1/12)</f>
        <v/>
      </c>
      <c r="C92" s="60">
        <f>IF(AND(A92&gt;1,MOD(A92-1,12)=0),C91*(1+Simulator!$B$7),C91)</f>
        <v/>
      </c>
      <c r="D92" s="60">
        <f>D91+(Simulator!$B$5+D91*C92/12)/B92</f>
        <v/>
      </c>
      <c r="E92" s="60">
        <f>D92*B92</f>
        <v/>
      </c>
      <c r="F92" s="60">
        <f>D92*C92</f>
        <v/>
      </c>
    </row>
    <row r="93">
      <c r="A93" s="60" t="n">
        <v>89</v>
      </c>
      <c r="B93" s="60">
        <f>B92*(1+Simulator!$B$8)^(1/12)</f>
        <v/>
      </c>
      <c r="C93" s="60">
        <f>IF(AND(A93&gt;1,MOD(A93-1,12)=0),C92*(1+Simulator!$B$7),C92)</f>
        <v/>
      </c>
      <c r="D93" s="60">
        <f>D92+(Simulator!$B$5+D92*C93/12)/B93</f>
        <v/>
      </c>
      <c r="E93" s="60">
        <f>D93*B93</f>
        <v/>
      </c>
      <c r="F93" s="60">
        <f>D93*C93</f>
        <v/>
      </c>
    </row>
    <row r="94">
      <c r="A94" s="60" t="n">
        <v>90</v>
      </c>
      <c r="B94" s="60">
        <f>B93*(1+Simulator!$B$8)^(1/12)</f>
        <v/>
      </c>
      <c r="C94" s="60">
        <f>IF(AND(A94&gt;1,MOD(A94-1,12)=0),C93*(1+Simulator!$B$7),C93)</f>
        <v/>
      </c>
      <c r="D94" s="60">
        <f>D93+(Simulator!$B$5+D93*C94/12)/B94</f>
        <v/>
      </c>
      <c r="E94" s="60">
        <f>D94*B94</f>
        <v/>
      </c>
      <c r="F94" s="60">
        <f>D94*C94</f>
        <v/>
      </c>
    </row>
    <row r="95">
      <c r="A95" s="60" t="n">
        <v>91</v>
      </c>
      <c r="B95" s="60">
        <f>B94*(1+Simulator!$B$8)^(1/12)</f>
        <v/>
      </c>
      <c r="C95" s="60">
        <f>IF(AND(A95&gt;1,MOD(A95-1,12)=0),C94*(1+Simulator!$B$7),C94)</f>
        <v/>
      </c>
      <c r="D95" s="60">
        <f>D94+(Simulator!$B$5+D94*C95/12)/B95</f>
        <v/>
      </c>
      <c r="E95" s="60">
        <f>D95*B95</f>
        <v/>
      </c>
      <c r="F95" s="60">
        <f>D95*C95</f>
        <v/>
      </c>
    </row>
    <row r="96">
      <c r="A96" s="60" t="n">
        <v>92</v>
      </c>
      <c r="B96" s="60">
        <f>B95*(1+Simulator!$B$8)^(1/12)</f>
        <v/>
      </c>
      <c r="C96" s="60">
        <f>IF(AND(A96&gt;1,MOD(A96-1,12)=0),C95*(1+Simulator!$B$7),C95)</f>
        <v/>
      </c>
      <c r="D96" s="60">
        <f>D95+(Simulator!$B$5+D95*C96/12)/B96</f>
        <v/>
      </c>
      <c r="E96" s="60">
        <f>D96*B96</f>
        <v/>
      </c>
      <c r="F96" s="60">
        <f>D96*C96</f>
        <v/>
      </c>
    </row>
    <row r="97">
      <c r="A97" s="60" t="n">
        <v>93</v>
      </c>
      <c r="B97" s="60">
        <f>B96*(1+Simulator!$B$8)^(1/12)</f>
        <v/>
      </c>
      <c r="C97" s="60">
        <f>IF(AND(A97&gt;1,MOD(A97-1,12)=0),C96*(1+Simulator!$B$7),C96)</f>
        <v/>
      </c>
      <c r="D97" s="60">
        <f>D96+(Simulator!$B$5+D96*C97/12)/B97</f>
        <v/>
      </c>
      <c r="E97" s="60">
        <f>D97*B97</f>
        <v/>
      </c>
      <c r="F97" s="60">
        <f>D97*C97</f>
        <v/>
      </c>
    </row>
    <row r="98">
      <c r="A98" s="60" t="n">
        <v>94</v>
      </c>
      <c r="B98" s="60">
        <f>B97*(1+Simulator!$B$8)^(1/12)</f>
        <v/>
      </c>
      <c r="C98" s="60">
        <f>IF(AND(A98&gt;1,MOD(A98-1,12)=0),C97*(1+Simulator!$B$7),C97)</f>
        <v/>
      </c>
      <c r="D98" s="60">
        <f>D97+(Simulator!$B$5+D97*C98/12)/B98</f>
        <v/>
      </c>
      <c r="E98" s="60">
        <f>D98*B98</f>
        <v/>
      </c>
      <c r="F98" s="60">
        <f>D98*C98</f>
        <v/>
      </c>
    </row>
    <row r="99">
      <c r="A99" s="60" t="n">
        <v>95</v>
      </c>
      <c r="B99" s="60">
        <f>B98*(1+Simulator!$B$8)^(1/12)</f>
        <v/>
      </c>
      <c r="C99" s="60">
        <f>IF(AND(A99&gt;1,MOD(A99-1,12)=0),C98*(1+Simulator!$B$7),C98)</f>
        <v/>
      </c>
      <c r="D99" s="60">
        <f>D98+(Simulator!$B$5+D98*C99/12)/B99</f>
        <v/>
      </c>
      <c r="E99" s="60">
        <f>D99*B99</f>
        <v/>
      </c>
      <c r="F99" s="60">
        <f>D99*C99</f>
        <v/>
      </c>
    </row>
    <row r="100">
      <c r="A100" s="60" t="n">
        <v>96</v>
      </c>
      <c r="B100" s="60">
        <f>B99*(1+Simulator!$B$8)^(1/12)</f>
        <v/>
      </c>
      <c r="C100" s="60">
        <f>IF(AND(A100&gt;1,MOD(A100-1,12)=0),C99*(1+Simulator!$B$7),C99)</f>
        <v/>
      </c>
      <c r="D100" s="60">
        <f>D99+(Simulator!$B$5+D99*C100/12)/B100</f>
        <v/>
      </c>
      <c r="E100" s="60">
        <f>D100*B100</f>
        <v/>
      </c>
      <c r="F100" s="60">
        <f>D100*C100</f>
        <v/>
      </c>
    </row>
    <row r="101">
      <c r="A101" s="60" t="n">
        <v>97</v>
      </c>
      <c r="B101" s="60">
        <f>B100*(1+Simulator!$B$8)^(1/12)</f>
        <v/>
      </c>
      <c r="C101" s="60">
        <f>IF(AND(A101&gt;1,MOD(A101-1,12)=0),C100*(1+Simulator!$B$7),C100)</f>
        <v/>
      </c>
      <c r="D101" s="60">
        <f>D100+(Simulator!$B$5+D100*C101/12)/B101</f>
        <v/>
      </c>
      <c r="E101" s="60">
        <f>D101*B101</f>
        <v/>
      </c>
      <c r="F101" s="60">
        <f>D101*C101</f>
        <v/>
      </c>
    </row>
    <row r="102">
      <c r="A102" s="60" t="n">
        <v>98</v>
      </c>
      <c r="B102" s="60">
        <f>B101*(1+Simulator!$B$8)^(1/12)</f>
        <v/>
      </c>
      <c r="C102" s="60">
        <f>IF(AND(A102&gt;1,MOD(A102-1,12)=0),C101*(1+Simulator!$B$7),C101)</f>
        <v/>
      </c>
      <c r="D102" s="60">
        <f>D101+(Simulator!$B$5+D101*C102/12)/B102</f>
        <v/>
      </c>
      <c r="E102" s="60">
        <f>D102*B102</f>
        <v/>
      </c>
      <c r="F102" s="60">
        <f>D102*C102</f>
        <v/>
      </c>
    </row>
    <row r="103">
      <c r="A103" s="60" t="n">
        <v>99</v>
      </c>
      <c r="B103" s="60">
        <f>B102*(1+Simulator!$B$8)^(1/12)</f>
        <v/>
      </c>
      <c r="C103" s="60">
        <f>IF(AND(A103&gt;1,MOD(A103-1,12)=0),C102*(1+Simulator!$B$7),C102)</f>
        <v/>
      </c>
      <c r="D103" s="60">
        <f>D102+(Simulator!$B$5+D102*C103/12)/B103</f>
        <v/>
      </c>
      <c r="E103" s="60">
        <f>D103*B103</f>
        <v/>
      </c>
      <c r="F103" s="60">
        <f>D103*C103</f>
        <v/>
      </c>
    </row>
    <row r="104">
      <c r="A104" s="60" t="n">
        <v>100</v>
      </c>
      <c r="B104" s="60">
        <f>B103*(1+Simulator!$B$8)^(1/12)</f>
        <v/>
      </c>
      <c r="C104" s="60">
        <f>IF(AND(A104&gt;1,MOD(A104-1,12)=0),C103*(1+Simulator!$B$7),C103)</f>
        <v/>
      </c>
      <c r="D104" s="60">
        <f>D103+(Simulator!$B$5+D103*C104/12)/B104</f>
        <v/>
      </c>
      <c r="E104" s="60">
        <f>D104*B104</f>
        <v/>
      </c>
      <c r="F104" s="60">
        <f>D104*C104</f>
        <v/>
      </c>
    </row>
    <row r="105">
      <c r="A105" s="60" t="n">
        <v>101</v>
      </c>
      <c r="B105" s="60">
        <f>B104*(1+Simulator!$B$8)^(1/12)</f>
        <v/>
      </c>
      <c r="C105" s="60">
        <f>IF(AND(A105&gt;1,MOD(A105-1,12)=0),C104*(1+Simulator!$B$7),C104)</f>
        <v/>
      </c>
      <c r="D105" s="60">
        <f>D104+(Simulator!$B$5+D104*C105/12)/B105</f>
        <v/>
      </c>
      <c r="E105" s="60">
        <f>D105*B105</f>
        <v/>
      </c>
      <c r="F105" s="60">
        <f>D105*C105</f>
        <v/>
      </c>
    </row>
    <row r="106">
      <c r="A106" s="60" t="n">
        <v>102</v>
      </c>
      <c r="B106" s="60">
        <f>B105*(1+Simulator!$B$8)^(1/12)</f>
        <v/>
      </c>
      <c r="C106" s="60">
        <f>IF(AND(A106&gt;1,MOD(A106-1,12)=0),C105*(1+Simulator!$B$7),C105)</f>
        <v/>
      </c>
      <c r="D106" s="60">
        <f>D105+(Simulator!$B$5+D105*C106/12)/B106</f>
        <v/>
      </c>
      <c r="E106" s="60">
        <f>D106*B106</f>
        <v/>
      </c>
      <c r="F106" s="60">
        <f>D106*C106</f>
        <v/>
      </c>
    </row>
    <row r="107">
      <c r="A107" s="60" t="n">
        <v>103</v>
      </c>
      <c r="B107" s="60">
        <f>B106*(1+Simulator!$B$8)^(1/12)</f>
        <v/>
      </c>
      <c r="C107" s="60">
        <f>IF(AND(A107&gt;1,MOD(A107-1,12)=0),C106*(1+Simulator!$B$7),C106)</f>
        <v/>
      </c>
      <c r="D107" s="60">
        <f>D106+(Simulator!$B$5+D106*C107/12)/B107</f>
        <v/>
      </c>
      <c r="E107" s="60">
        <f>D107*B107</f>
        <v/>
      </c>
      <c r="F107" s="60">
        <f>D107*C107</f>
        <v/>
      </c>
    </row>
    <row r="108">
      <c r="A108" s="60" t="n">
        <v>104</v>
      </c>
      <c r="B108" s="60">
        <f>B107*(1+Simulator!$B$8)^(1/12)</f>
        <v/>
      </c>
      <c r="C108" s="60">
        <f>IF(AND(A108&gt;1,MOD(A108-1,12)=0),C107*(1+Simulator!$B$7),C107)</f>
        <v/>
      </c>
      <c r="D108" s="60">
        <f>D107+(Simulator!$B$5+D107*C108/12)/B108</f>
        <v/>
      </c>
      <c r="E108" s="60">
        <f>D108*B108</f>
        <v/>
      </c>
      <c r="F108" s="60">
        <f>D108*C108</f>
        <v/>
      </c>
    </row>
    <row r="109">
      <c r="A109" s="60" t="n">
        <v>105</v>
      </c>
      <c r="B109" s="60">
        <f>B108*(1+Simulator!$B$8)^(1/12)</f>
        <v/>
      </c>
      <c r="C109" s="60">
        <f>IF(AND(A109&gt;1,MOD(A109-1,12)=0),C108*(1+Simulator!$B$7),C108)</f>
        <v/>
      </c>
      <c r="D109" s="60">
        <f>D108+(Simulator!$B$5+D108*C109/12)/B109</f>
        <v/>
      </c>
      <c r="E109" s="60">
        <f>D109*B109</f>
        <v/>
      </c>
      <c r="F109" s="60">
        <f>D109*C109</f>
        <v/>
      </c>
    </row>
    <row r="110">
      <c r="A110" s="60" t="n">
        <v>106</v>
      </c>
      <c r="B110" s="60">
        <f>B109*(1+Simulator!$B$8)^(1/12)</f>
        <v/>
      </c>
      <c r="C110" s="60">
        <f>IF(AND(A110&gt;1,MOD(A110-1,12)=0),C109*(1+Simulator!$B$7),C109)</f>
        <v/>
      </c>
      <c r="D110" s="60">
        <f>D109+(Simulator!$B$5+D109*C110/12)/B110</f>
        <v/>
      </c>
      <c r="E110" s="60">
        <f>D110*B110</f>
        <v/>
      </c>
      <c r="F110" s="60">
        <f>D110*C110</f>
        <v/>
      </c>
    </row>
    <row r="111">
      <c r="A111" s="60" t="n">
        <v>107</v>
      </c>
      <c r="B111" s="60">
        <f>B110*(1+Simulator!$B$8)^(1/12)</f>
        <v/>
      </c>
      <c r="C111" s="60">
        <f>IF(AND(A111&gt;1,MOD(A111-1,12)=0),C110*(1+Simulator!$B$7),C110)</f>
        <v/>
      </c>
      <c r="D111" s="60">
        <f>D110+(Simulator!$B$5+D110*C111/12)/B111</f>
        <v/>
      </c>
      <c r="E111" s="60">
        <f>D111*B111</f>
        <v/>
      </c>
      <c r="F111" s="60">
        <f>D111*C111</f>
        <v/>
      </c>
    </row>
    <row r="112">
      <c r="A112" s="60" t="n">
        <v>108</v>
      </c>
      <c r="B112" s="60">
        <f>B111*(1+Simulator!$B$8)^(1/12)</f>
        <v/>
      </c>
      <c r="C112" s="60">
        <f>IF(AND(A112&gt;1,MOD(A112-1,12)=0),C111*(1+Simulator!$B$7),C111)</f>
        <v/>
      </c>
      <c r="D112" s="60">
        <f>D111+(Simulator!$B$5+D111*C112/12)/B112</f>
        <v/>
      </c>
      <c r="E112" s="60">
        <f>D112*B112</f>
        <v/>
      </c>
      <c r="F112" s="60">
        <f>D112*C112</f>
        <v/>
      </c>
    </row>
    <row r="113">
      <c r="A113" s="60" t="n">
        <v>109</v>
      </c>
      <c r="B113" s="60">
        <f>B112*(1+Simulator!$B$8)^(1/12)</f>
        <v/>
      </c>
      <c r="C113" s="60">
        <f>IF(AND(A113&gt;1,MOD(A113-1,12)=0),C112*(1+Simulator!$B$7),C112)</f>
        <v/>
      </c>
      <c r="D113" s="60">
        <f>D112+(Simulator!$B$5+D112*C113/12)/B113</f>
        <v/>
      </c>
      <c r="E113" s="60">
        <f>D113*B113</f>
        <v/>
      </c>
      <c r="F113" s="60">
        <f>D113*C113</f>
        <v/>
      </c>
    </row>
    <row r="114">
      <c r="A114" s="60" t="n">
        <v>110</v>
      </c>
      <c r="B114" s="60">
        <f>B113*(1+Simulator!$B$8)^(1/12)</f>
        <v/>
      </c>
      <c r="C114" s="60">
        <f>IF(AND(A114&gt;1,MOD(A114-1,12)=0),C113*(1+Simulator!$B$7),C113)</f>
        <v/>
      </c>
      <c r="D114" s="60">
        <f>D113+(Simulator!$B$5+D113*C114/12)/B114</f>
        <v/>
      </c>
      <c r="E114" s="60">
        <f>D114*B114</f>
        <v/>
      </c>
      <c r="F114" s="60">
        <f>D114*C114</f>
        <v/>
      </c>
    </row>
    <row r="115">
      <c r="A115" s="60" t="n">
        <v>111</v>
      </c>
      <c r="B115" s="60">
        <f>B114*(1+Simulator!$B$8)^(1/12)</f>
        <v/>
      </c>
      <c r="C115" s="60">
        <f>IF(AND(A115&gt;1,MOD(A115-1,12)=0),C114*(1+Simulator!$B$7),C114)</f>
        <v/>
      </c>
      <c r="D115" s="60">
        <f>D114+(Simulator!$B$5+D114*C115/12)/B115</f>
        <v/>
      </c>
      <c r="E115" s="60">
        <f>D115*B115</f>
        <v/>
      </c>
      <c r="F115" s="60">
        <f>D115*C115</f>
        <v/>
      </c>
    </row>
    <row r="116">
      <c r="A116" s="60" t="n">
        <v>112</v>
      </c>
      <c r="B116" s="60">
        <f>B115*(1+Simulator!$B$8)^(1/12)</f>
        <v/>
      </c>
      <c r="C116" s="60">
        <f>IF(AND(A116&gt;1,MOD(A116-1,12)=0),C115*(1+Simulator!$B$7),C115)</f>
        <v/>
      </c>
      <c r="D116" s="60">
        <f>D115+(Simulator!$B$5+D115*C116/12)/B116</f>
        <v/>
      </c>
      <c r="E116" s="60">
        <f>D116*B116</f>
        <v/>
      </c>
      <c r="F116" s="60">
        <f>D116*C116</f>
        <v/>
      </c>
    </row>
    <row r="117">
      <c r="A117" s="60" t="n">
        <v>113</v>
      </c>
      <c r="B117" s="60">
        <f>B116*(1+Simulator!$B$8)^(1/12)</f>
        <v/>
      </c>
      <c r="C117" s="60">
        <f>IF(AND(A117&gt;1,MOD(A117-1,12)=0),C116*(1+Simulator!$B$7),C116)</f>
        <v/>
      </c>
      <c r="D117" s="60">
        <f>D116+(Simulator!$B$5+D116*C117/12)/B117</f>
        <v/>
      </c>
      <c r="E117" s="60">
        <f>D117*B117</f>
        <v/>
      </c>
      <c r="F117" s="60">
        <f>D117*C117</f>
        <v/>
      </c>
    </row>
    <row r="118">
      <c r="A118" s="60" t="n">
        <v>114</v>
      </c>
      <c r="B118" s="60">
        <f>B117*(1+Simulator!$B$8)^(1/12)</f>
        <v/>
      </c>
      <c r="C118" s="60">
        <f>IF(AND(A118&gt;1,MOD(A118-1,12)=0),C117*(1+Simulator!$B$7),C117)</f>
        <v/>
      </c>
      <c r="D118" s="60">
        <f>D117+(Simulator!$B$5+D117*C118/12)/B118</f>
        <v/>
      </c>
      <c r="E118" s="60">
        <f>D118*B118</f>
        <v/>
      </c>
      <c r="F118" s="60">
        <f>D118*C118</f>
        <v/>
      </c>
    </row>
    <row r="119">
      <c r="A119" s="60" t="n">
        <v>115</v>
      </c>
      <c r="B119" s="60">
        <f>B118*(1+Simulator!$B$8)^(1/12)</f>
        <v/>
      </c>
      <c r="C119" s="60">
        <f>IF(AND(A119&gt;1,MOD(A119-1,12)=0),C118*(1+Simulator!$B$7),C118)</f>
        <v/>
      </c>
      <c r="D119" s="60">
        <f>D118+(Simulator!$B$5+D118*C119/12)/B119</f>
        <v/>
      </c>
      <c r="E119" s="60">
        <f>D119*B119</f>
        <v/>
      </c>
      <c r="F119" s="60">
        <f>D119*C119</f>
        <v/>
      </c>
    </row>
    <row r="120">
      <c r="A120" s="60" t="n">
        <v>116</v>
      </c>
      <c r="B120" s="60">
        <f>B119*(1+Simulator!$B$8)^(1/12)</f>
        <v/>
      </c>
      <c r="C120" s="60">
        <f>IF(AND(A120&gt;1,MOD(A120-1,12)=0),C119*(1+Simulator!$B$7),C119)</f>
        <v/>
      </c>
      <c r="D120" s="60">
        <f>D119+(Simulator!$B$5+D119*C120/12)/B120</f>
        <v/>
      </c>
      <c r="E120" s="60">
        <f>D120*B120</f>
        <v/>
      </c>
      <c r="F120" s="60">
        <f>D120*C120</f>
        <v/>
      </c>
    </row>
    <row r="121">
      <c r="A121" s="60" t="n">
        <v>117</v>
      </c>
      <c r="B121" s="60">
        <f>B120*(1+Simulator!$B$8)^(1/12)</f>
        <v/>
      </c>
      <c r="C121" s="60">
        <f>IF(AND(A121&gt;1,MOD(A121-1,12)=0),C120*(1+Simulator!$B$7),C120)</f>
        <v/>
      </c>
      <c r="D121" s="60">
        <f>D120+(Simulator!$B$5+D120*C121/12)/B121</f>
        <v/>
      </c>
      <c r="E121" s="60">
        <f>D121*B121</f>
        <v/>
      </c>
      <c r="F121" s="60">
        <f>D121*C121</f>
        <v/>
      </c>
    </row>
    <row r="122">
      <c r="A122" s="60" t="n">
        <v>118</v>
      </c>
      <c r="B122" s="60">
        <f>B121*(1+Simulator!$B$8)^(1/12)</f>
        <v/>
      </c>
      <c r="C122" s="60">
        <f>IF(AND(A122&gt;1,MOD(A122-1,12)=0),C121*(1+Simulator!$B$7),C121)</f>
        <v/>
      </c>
      <c r="D122" s="60">
        <f>D121+(Simulator!$B$5+D121*C122/12)/B122</f>
        <v/>
      </c>
      <c r="E122" s="60">
        <f>D122*B122</f>
        <v/>
      </c>
      <c r="F122" s="60">
        <f>D122*C122</f>
        <v/>
      </c>
    </row>
    <row r="123">
      <c r="A123" s="60" t="n">
        <v>119</v>
      </c>
      <c r="B123" s="60">
        <f>B122*(1+Simulator!$B$8)^(1/12)</f>
        <v/>
      </c>
      <c r="C123" s="60">
        <f>IF(AND(A123&gt;1,MOD(A123-1,12)=0),C122*(1+Simulator!$B$7),C122)</f>
        <v/>
      </c>
      <c r="D123" s="60">
        <f>D122+(Simulator!$B$5+D122*C123/12)/B123</f>
        <v/>
      </c>
      <c r="E123" s="60">
        <f>D123*B123</f>
        <v/>
      </c>
      <c r="F123" s="60">
        <f>D123*C123</f>
        <v/>
      </c>
    </row>
    <row r="124">
      <c r="A124" s="60" t="n">
        <v>120</v>
      </c>
      <c r="B124" s="60">
        <f>B123*(1+Simulator!$B$8)^(1/12)</f>
        <v/>
      </c>
      <c r="C124" s="60">
        <f>IF(AND(A124&gt;1,MOD(A124-1,12)=0),C123*(1+Simulator!$B$7),C123)</f>
        <v/>
      </c>
      <c r="D124" s="60">
        <f>D123+(Simulator!$B$5+D123*C124/12)/B124</f>
        <v/>
      </c>
      <c r="E124" s="60">
        <f>D124*B124</f>
        <v/>
      </c>
      <c r="F124" s="60">
        <f>D124*C124</f>
        <v/>
      </c>
    </row>
    <row r="125">
      <c r="A125" s="60" t="n">
        <v>121</v>
      </c>
      <c r="B125" s="60">
        <f>B124*(1+Simulator!$B$8)^(1/12)</f>
        <v/>
      </c>
      <c r="C125" s="60">
        <f>IF(AND(A125&gt;1,MOD(A125-1,12)=0),C124*(1+Simulator!$B$7),C124)</f>
        <v/>
      </c>
      <c r="D125" s="60">
        <f>D124+(Simulator!$B$5+D124*C125/12)/B125</f>
        <v/>
      </c>
      <c r="E125" s="60">
        <f>D125*B125</f>
        <v/>
      </c>
      <c r="F125" s="60">
        <f>D125*C125</f>
        <v/>
      </c>
    </row>
    <row r="126">
      <c r="A126" s="60" t="n">
        <v>122</v>
      </c>
      <c r="B126" s="60">
        <f>B125*(1+Simulator!$B$8)^(1/12)</f>
        <v/>
      </c>
      <c r="C126" s="60">
        <f>IF(AND(A126&gt;1,MOD(A126-1,12)=0),C125*(1+Simulator!$B$7),C125)</f>
        <v/>
      </c>
      <c r="D126" s="60">
        <f>D125+(Simulator!$B$5+D125*C126/12)/B126</f>
        <v/>
      </c>
      <c r="E126" s="60">
        <f>D126*B126</f>
        <v/>
      </c>
      <c r="F126" s="60">
        <f>D126*C126</f>
        <v/>
      </c>
    </row>
    <row r="127">
      <c r="A127" s="60" t="n">
        <v>123</v>
      </c>
      <c r="B127" s="60">
        <f>B126*(1+Simulator!$B$8)^(1/12)</f>
        <v/>
      </c>
      <c r="C127" s="60">
        <f>IF(AND(A127&gt;1,MOD(A127-1,12)=0),C126*(1+Simulator!$B$7),C126)</f>
        <v/>
      </c>
      <c r="D127" s="60">
        <f>D126+(Simulator!$B$5+D126*C127/12)/B127</f>
        <v/>
      </c>
      <c r="E127" s="60">
        <f>D127*B127</f>
        <v/>
      </c>
      <c r="F127" s="60">
        <f>D127*C127</f>
        <v/>
      </c>
    </row>
    <row r="128">
      <c r="A128" s="60" t="n">
        <v>124</v>
      </c>
      <c r="B128" s="60">
        <f>B127*(1+Simulator!$B$8)^(1/12)</f>
        <v/>
      </c>
      <c r="C128" s="60">
        <f>IF(AND(A128&gt;1,MOD(A128-1,12)=0),C127*(1+Simulator!$B$7),C127)</f>
        <v/>
      </c>
      <c r="D128" s="60">
        <f>D127+(Simulator!$B$5+D127*C128/12)/B128</f>
        <v/>
      </c>
      <c r="E128" s="60">
        <f>D128*B128</f>
        <v/>
      </c>
      <c r="F128" s="60">
        <f>D128*C128</f>
        <v/>
      </c>
    </row>
    <row r="129">
      <c r="A129" s="60" t="n">
        <v>125</v>
      </c>
      <c r="B129" s="60">
        <f>B128*(1+Simulator!$B$8)^(1/12)</f>
        <v/>
      </c>
      <c r="C129" s="60">
        <f>IF(AND(A129&gt;1,MOD(A129-1,12)=0),C128*(1+Simulator!$B$7),C128)</f>
        <v/>
      </c>
      <c r="D129" s="60">
        <f>D128+(Simulator!$B$5+D128*C129/12)/B129</f>
        <v/>
      </c>
      <c r="E129" s="60">
        <f>D129*B129</f>
        <v/>
      </c>
      <c r="F129" s="60">
        <f>D129*C129</f>
        <v/>
      </c>
    </row>
    <row r="130">
      <c r="A130" s="60" t="n">
        <v>126</v>
      </c>
      <c r="B130" s="60">
        <f>B129*(1+Simulator!$B$8)^(1/12)</f>
        <v/>
      </c>
      <c r="C130" s="60">
        <f>IF(AND(A130&gt;1,MOD(A130-1,12)=0),C129*(1+Simulator!$B$7),C129)</f>
        <v/>
      </c>
      <c r="D130" s="60">
        <f>D129+(Simulator!$B$5+D129*C130/12)/B130</f>
        <v/>
      </c>
      <c r="E130" s="60">
        <f>D130*B130</f>
        <v/>
      </c>
      <c r="F130" s="60">
        <f>D130*C130</f>
        <v/>
      </c>
    </row>
    <row r="131">
      <c r="A131" s="60" t="n">
        <v>127</v>
      </c>
      <c r="B131" s="60">
        <f>B130*(1+Simulator!$B$8)^(1/12)</f>
        <v/>
      </c>
      <c r="C131" s="60">
        <f>IF(AND(A131&gt;1,MOD(A131-1,12)=0),C130*(1+Simulator!$B$7),C130)</f>
        <v/>
      </c>
      <c r="D131" s="60">
        <f>D130+(Simulator!$B$5+D130*C131/12)/B131</f>
        <v/>
      </c>
      <c r="E131" s="60">
        <f>D131*B131</f>
        <v/>
      </c>
      <c r="F131" s="60">
        <f>D131*C131</f>
        <v/>
      </c>
    </row>
    <row r="132">
      <c r="A132" s="60" t="n">
        <v>128</v>
      </c>
      <c r="B132" s="60">
        <f>B131*(1+Simulator!$B$8)^(1/12)</f>
        <v/>
      </c>
      <c r="C132" s="60">
        <f>IF(AND(A132&gt;1,MOD(A132-1,12)=0),C131*(1+Simulator!$B$7),C131)</f>
        <v/>
      </c>
      <c r="D132" s="60">
        <f>D131+(Simulator!$B$5+D131*C132/12)/B132</f>
        <v/>
      </c>
      <c r="E132" s="60">
        <f>D132*B132</f>
        <v/>
      </c>
      <c r="F132" s="60">
        <f>D132*C132</f>
        <v/>
      </c>
    </row>
    <row r="133">
      <c r="A133" s="60" t="n">
        <v>129</v>
      </c>
      <c r="B133" s="60">
        <f>B132*(1+Simulator!$B$8)^(1/12)</f>
        <v/>
      </c>
      <c r="C133" s="60">
        <f>IF(AND(A133&gt;1,MOD(A133-1,12)=0),C132*(1+Simulator!$B$7),C132)</f>
        <v/>
      </c>
      <c r="D133" s="60">
        <f>D132+(Simulator!$B$5+D132*C133/12)/B133</f>
        <v/>
      </c>
      <c r="E133" s="60">
        <f>D133*B133</f>
        <v/>
      </c>
      <c r="F133" s="60">
        <f>D133*C133</f>
        <v/>
      </c>
    </row>
    <row r="134">
      <c r="A134" s="60" t="n">
        <v>130</v>
      </c>
      <c r="B134" s="60">
        <f>B133*(1+Simulator!$B$8)^(1/12)</f>
        <v/>
      </c>
      <c r="C134" s="60">
        <f>IF(AND(A134&gt;1,MOD(A134-1,12)=0),C133*(1+Simulator!$B$7),C133)</f>
        <v/>
      </c>
      <c r="D134" s="60">
        <f>D133+(Simulator!$B$5+D133*C134/12)/B134</f>
        <v/>
      </c>
      <c r="E134" s="60">
        <f>D134*B134</f>
        <v/>
      </c>
      <c r="F134" s="60">
        <f>D134*C134</f>
        <v/>
      </c>
    </row>
    <row r="135">
      <c r="A135" s="60" t="n">
        <v>131</v>
      </c>
      <c r="B135" s="60">
        <f>B134*(1+Simulator!$B$8)^(1/12)</f>
        <v/>
      </c>
      <c r="C135" s="60">
        <f>IF(AND(A135&gt;1,MOD(A135-1,12)=0),C134*(1+Simulator!$B$7),C134)</f>
        <v/>
      </c>
      <c r="D135" s="60">
        <f>D134+(Simulator!$B$5+D134*C135/12)/B135</f>
        <v/>
      </c>
      <c r="E135" s="60">
        <f>D135*B135</f>
        <v/>
      </c>
      <c r="F135" s="60">
        <f>D135*C135</f>
        <v/>
      </c>
    </row>
    <row r="136">
      <c r="A136" s="60" t="n">
        <v>132</v>
      </c>
      <c r="B136" s="60">
        <f>B135*(1+Simulator!$B$8)^(1/12)</f>
        <v/>
      </c>
      <c r="C136" s="60">
        <f>IF(AND(A136&gt;1,MOD(A136-1,12)=0),C135*(1+Simulator!$B$7),C135)</f>
        <v/>
      </c>
      <c r="D136" s="60">
        <f>D135+(Simulator!$B$5+D135*C136/12)/B136</f>
        <v/>
      </c>
      <c r="E136" s="60">
        <f>D136*B136</f>
        <v/>
      </c>
      <c r="F136" s="60">
        <f>D136*C136</f>
        <v/>
      </c>
    </row>
    <row r="137">
      <c r="A137" s="60" t="n">
        <v>133</v>
      </c>
      <c r="B137" s="60">
        <f>B136*(1+Simulator!$B$8)^(1/12)</f>
        <v/>
      </c>
      <c r="C137" s="60">
        <f>IF(AND(A137&gt;1,MOD(A137-1,12)=0),C136*(1+Simulator!$B$7),C136)</f>
        <v/>
      </c>
      <c r="D137" s="60">
        <f>D136+(Simulator!$B$5+D136*C137/12)/B137</f>
        <v/>
      </c>
      <c r="E137" s="60">
        <f>D137*B137</f>
        <v/>
      </c>
      <c r="F137" s="60">
        <f>D137*C137</f>
        <v/>
      </c>
    </row>
    <row r="138">
      <c r="A138" s="60" t="n">
        <v>134</v>
      </c>
      <c r="B138" s="60">
        <f>B137*(1+Simulator!$B$8)^(1/12)</f>
        <v/>
      </c>
      <c r="C138" s="60">
        <f>IF(AND(A138&gt;1,MOD(A138-1,12)=0),C137*(1+Simulator!$B$7),C137)</f>
        <v/>
      </c>
      <c r="D138" s="60">
        <f>D137+(Simulator!$B$5+D137*C138/12)/B138</f>
        <v/>
      </c>
      <c r="E138" s="60">
        <f>D138*B138</f>
        <v/>
      </c>
      <c r="F138" s="60">
        <f>D138*C138</f>
        <v/>
      </c>
    </row>
    <row r="139">
      <c r="A139" s="60" t="n">
        <v>135</v>
      </c>
      <c r="B139" s="60">
        <f>B138*(1+Simulator!$B$8)^(1/12)</f>
        <v/>
      </c>
      <c r="C139" s="60">
        <f>IF(AND(A139&gt;1,MOD(A139-1,12)=0),C138*(1+Simulator!$B$7),C138)</f>
        <v/>
      </c>
      <c r="D139" s="60">
        <f>D138+(Simulator!$B$5+D138*C139/12)/B139</f>
        <v/>
      </c>
      <c r="E139" s="60">
        <f>D139*B139</f>
        <v/>
      </c>
      <c r="F139" s="60">
        <f>D139*C139</f>
        <v/>
      </c>
    </row>
    <row r="140">
      <c r="A140" s="60" t="n">
        <v>136</v>
      </c>
      <c r="B140" s="60">
        <f>B139*(1+Simulator!$B$8)^(1/12)</f>
        <v/>
      </c>
      <c r="C140" s="60">
        <f>IF(AND(A140&gt;1,MOD(A140-1,12)=0),C139*(1+Simulator!$B$7),C139)</f>
        <v/>
      </c>
      <c r="D140" s="60">
        <f>D139+(Simulator!$B$5+D139*C140/12)/B140</f>
        <v/>
      </c>
      <c r="E140" s="60">
        <f>D140*B140</f>
        <v/>
      </c>
      <c r="F140" s="60">
        <f>D140*C140</f>
        <v/>
      </c>
    </row>
    <row r="141">
      <c r="A141" s="60" t="n">
        <v>137</v>
      </c>
      <c r="B141" s="60">
        <f>B140*(1+Simulator!$B$8)^(1/12)</f>
        <v/>
      </c>
      <c r="C141" s="60">
        <f>IF(AND(A141&gt;1,MOD(A141-1,12)=0),C140*(1+Simulator!$B$7),C140)</f>
        <v/>
      </c>
      <c r="D141" s="60">
        <f>D140+(Simulator!$B$5+D140*C141/12)/B141</f>
        <v/>
      </c>
      <c r="E141" s="60">
        <f>D141*B141</f>
        <v/>
      </c>
      <c r="F141" s="60">
        <f>D141*C141</f>
        <v/>
      </c>
    </row>
    <row r="142">
      <c r="A142" s="60" t="n">
        <v>138</v>
      </c>
      <c r="B142" s="60">
        <f>B141*(1+Simulator!$B$8)^(1/12)</f>
        <v/>
      </c>
      <c r="C142" s="60">
        <f>IF(AND(A142&gt;1,MOD(A142-1,12)=0),C141*(1+Simulator!$B$7),C141)</f>
        <v/>
      </c>
      <c r="D142" s="60">
        <f>D141+(Simulator!$B$5+D141*C142/12)/B142</f>
        <v/>
      </c>
      <c r="E142" s="60">
        <f>D142*B142</f>
        <v/>
      </c>
      <c r="F142" s="60">
        <f>D142*C142</f>
        <v/>
      </c>
    </row>
    <row r="143">
      <c r="A143" s="60" t="n">
        <v>139</v>
      </c>
      <c r="B143" s="60">
        <f>B142*(1+Simulator!$B$8)^(1/12)</f>
        <v/>
      </c>
      <c r="C143" s="60">
        <f>IF(AND(A143&gt;1,MOD(A143-1,12)=0),C142*(1+Simulator!$B$7),C142)</f>
        <v/>
      </c>
      <c r="D143" s="60">
        <f>D142+(Simulator!$B$5+D142*C143/12)/B143</f>
        <v/>
      </c>
      <c r="E143" s="60">
        <f>D143*B143</f>
        <v/>
      </c>
      <c r="F143" s="60">
        <f>D143*C143</f>
        <v/>
      </c>
    </row>
    <row r="144">
      <c r="A144" s="60" t="n">
        <v>140</v>
      </c>
      <c r="B144" s="60">
        <f>B143*(1+Simulator!$B$8)^(1/12)</f>
        <v/>
      </c>
      <c r="C144" s="60">
        <f>IF(AND(A144&gt;1,MOD(A144-1,12)=0),C143*(1+Simulator!$B$7),C143)</f>
        <v/>
      </c>
      <c r="D144" s="60">
        <f>D143+(Simulator!$B$5+D143*C144/12)/B144</f>
        <v/>
      </c>
      <c r="E144" s="60">
        <f>D144*B144</f>
        <v/>
      </c>
      <c r="F144" s="60">
        <f>D144*C144</f>
        <v/>
      </c>
    </row>
    <row r="145">
      <c r="A145" s="60" t="n">
        <v>141</v>
      </c>
      <c r="B145" s="60">
        <f>B144*(1+Simulator!$B$8)^(1/12)</f>
        <v/>
      </c>
      <c r="C145" s="60">
        <f>IF(AND(A145&gt;1,MOD(A145-1,12)=0),C144*(1+Simulator!$B$7),C144)</f>
        <v/>
      </c>
      <c r="D145" s="60">
        <f>D144+(Simulator!$B$5+D144*C145/12)/B145</f>
        <v/>
      </c>
      <c r="E145" s="60">
        <f>D145*B145</f>
        <v/>
      </c>
      <c r="F145" s="60">
        <f>D145*C145</f>
        <v/>
      </c>
    </row>
    <row r="146">
      <c r="A146" s="60" t="n">
        <v>142</v>
      </c>
      <c r="B146" s="60">
        <f>B145*(1+Simulator!$B$8)^(1/12)</f>
        <v/>
      </c>
      <c r="C146" s="60">
        <f>IF(AND(A146&gt;1,MOD(A146-1,12)=0),C145*(1+Simulator!$B$7),C145)</f>
        <v/>
      </c>
      <c r="D146" s="60">
        <f>D145+(Simulator!$B$5+D145*C146/12)/B146</f>
        <v/>
      </c>
      <c r="E146" s="60">
        <f>D146*B146</f>
        <v/>
      </c>
      <c r="F146" s="60">
        <f>D146*C146</f>
        <v/>
      </c>
    </row>
    <row r="147">
      <c r="A147" s="60" t="n">
        <v>143</v>
      </c>
      <c r="B147" s="60">
        <f>B146*(1+Simulator!$B$8)^(1/12)</f>
        <v/>
      </c>
      <c r="C147" s="60">
        <f>IF(AND(A147&gt;1,MOD(A147-1,12)=0),C146*(1+Simulator!$B$7),C146)</f>
        <v/>
      </c>
      <c r="D147" s="60">
        <f>D146+(Simulator!$B$5+D146*C147/12)/B147</f>
        <v/>
      </c>
      <c r="E147" s="60">
        <f>D147*B147</f>
        <v/>
      </c>
      <c r="F147" s="60">
        <f>D147*C147</f>
        <v/>
      </c>
    </row>
    <row r="148">
      <c r="A148" s="60" t="n">
        <v>144</v>
      </c>
      <c r="B148" s="60">
        <f>B147*(1+Simulator!$B$8)^(1/12)</f>
        <v/>
      </c>
      <c r="C148" s="60">
        <f>IF(AND(A148&gt;1,MOD(A148-1,12)=0),C147*(1+Simulator!$B$7),C147)</f>
        <v/>
      </c>
      <c r="D148" s="60">
        <f>D147+(Simulator!$B$5+D147*C148/12)/B148</f>
        <v/>
      </c>
      <c r="E148" s="60">
        <f>D148*B148</f>
        <v/>
      </c>
      <c r="F148" s="60">
        <f>D148*C148</f>
        <v/>
      </c>
    </row>
    <row r="149">
      <c r="A149" s="60" t="n">
        <v>145</v>
      </c>
      <c r="B149" s="60">
        <f>B148*(1+Simulator!$B$8)^(1/12)</f>
        <v/>
      </c>
      <c r="C149" s="60">
        <f>IF(AND(A149&gt;1,MOD(A149-1,12)=0),C148*(1+Simulator!$B$7),C148)</f>
        <v/>
      </c>
      <c r="D149" s="60">
        <f>D148+(Simulator!$B$5+D148*C149/12)/B149</f>
        <v/>
      </c>
      <c r="E149" s="60">
        <f>D149*B149</f>
        <v/>
      </c>
      <c r="F149" s="60">
        <f>D149*C149</f>
        <v/>
      </c>
    </row>
    <row r="150">
      <c r="A150" s="60" t="n">
        <v>146</v>
      </c>
      <c r="B150" s="60">
        <f>B149*(1+Simulator!$B$8)^(1/12)</f>
        <v/>
      </c>
      <c r="C150" s="60">
        <f>IF(AND(A150&gt;1,MOD(A150-1,12)=0),C149*(1+Simulator!$B$7),C149)</f>
        <v/>
      </c>
      <c r="D150" s="60">
        <f>D149+(Simulator!$B$5+D149*C150/12)/B150</f>
        <v/>
      </c>
      <c r="E150" s="60">
        <f>D150*B150</f>
        <v/>
      </c>
      <c r="F150" s="60">
        <f>D150*C150</f>
        <v/>
      </c>
    </row>
    <row r="151">
      <c r="A151" s="60" t="n">
        <v>147</v>
      </c>
      <c r="B151" s="60">
        <f>B150*(1+Simulator!$B$8)^(1/12)</f>
        <v/>
      </c>
      <c r="C151" s="60">
        <f>IF(AND(A151&gt;1,MOD(A151-1,12)=0),C150*(1+Simulator!$B$7),C150)</f>
        <v/>
      </c>
      <c r="D151" s="60">
        <f>D150+(Simulator!$B$5+D150*C151/12)/B151</f>
        <v/>
      </c>
      <c r="E151" s="60">
        <f>D151*B151</f>
        <v/>
      </c>
      <c r="F151" s="60">
        <f>D151*C151</f>
        <v/>
      </c>
    </row>
    <row r="152">
      <c r="A152" s="60" t="n">
        <v>148</v>
      </c>
      <c r="B152" s="60">
        <f>B151*(1+Simulator!$B$8)^(1/12)</f>
        <v/>
      </c>
      <c r="C152" s="60">
        <f>IF(AND(A152&gt;1,MOD(A152-1,12)=0),C151*(1+Simulator!$B$7),C151)</f>
        <v/>
      </c>
      <c r="D152" s="60">
        <f>D151+(Simulator!$B$5+D151*C152/12)/B152</f>
        <v/>
      </c>
      <c r="E152" s="60">
        <f>D152*B152</f>
        <v/>
      </c>
      <c r="F152" s="60">
        <f>D152*C152</f>
        <v/>
      </c>
    </row>
    <row r="153">
      <c r="A153" s="60" t="n">
        <v>149</v>
      </c>
      <c r="B153" s="60">
        <f>B152*(1+Simulator!$B$8)^(1/12)</f>
        <v/>
      </c>
      <c r="C153" s="60">
        <f>IF(AND(A153&gt;1,MOD(A153-1,12)=0),C152*(1+Simulator!$B$7),C152)</f>
        <v/>
      </c>
      <c r="D153" s="60">
        <f>D152+(Simulator!$B$5+D152*C153/12)/B153</f>
        <v/>
      </c>
      <c r="E153" s="60">
        <f>D153*B153</f>
        <v/>
      </c>
      <c r="F153" s="60">
        <f>D153*C153</f>
        <v/>
      </c>
    </row>
    <row r="154">
      <c r="A154" s="60" t="n">
        <v>150</v>
      </c>
      <c r="B154" s="60">
        <f>B153*(1+Simulator!$B$8)^(1/12)</f>
        <v/>
      </c>
      <c r="C154" s="60">
        <f>IF(AND(A154&gt;1,MOD(A154-1,12)=0),C153*(1+Simulator!$B$7),C153)</f>
        <v/>
      </c>
      <c r="D154" s="60">
        <f>D153+(Simulator!$B$5+D153*C154/12)/B154</f>
        <v/>
      </c>
      <c r="E154" s="60">
        <f>D154*B154</f>
        <v/>
      </c>
      <c r="F154" s="60">
        <f>D154*C154</f>
        <v/>
      </c>
    </row>
    <row r="155">
      <c r="A155" s="60" t="n">
        <v>151</v>
      </c>
      <c r="B155" s="60">
        <f>B154*(1+Simulator!$B$8)^(1/12)</f>
        <v/>
      </c>
      <c r="C155" s="60">
        <f>IF(AND(A155&gt;1,MOD(A155-1,12)=0),C154*(1+Simulator!$B$7),C154)</f>
        <v/>
      </c>
      <c r="D155" s="60">
        <f>D154+(Simulator!$B$5+D154*C155/12)/B155</f>
        <v/>
      </c>
      <c r="E155" s="60">
        <f>D155*B155</f>
        <v/>
      </c>
      <c r="F155" s="60">
        <f>D155*C155</f>
        <v/>
      </c>
    </row>
    <row r="156">
      <c r="A156" s="60" t="n">
        <v>152</v>
      </c>
      <c r="B156" s="60">
        <f>B155*(1+Simulator!$B$8)^(1/12)</f>
        <v/>
      </c>
      <c r="C156" s="60">
        <f>IF(AND(A156&gt;1,MOD(A156-1,12)=0),C155*(1+Simulator!$B$7),C155)</f>
        <v/>
      </c>
      <c r="D156" s="60">
        <f>D155+(Simulator!$B$5+D155*C156/12)/B156</f>
        <v/>
      </c>
      <c r="E156" s="60">
        <f>D156*B156</f>
        <v/>
      </c>
      <c r="F156" s="60">
        <f>D156*C156</f>
        <v/>
      </c>
    </row>
    <row r="157">
      <c r="A157" s="60" t="n">
        <v>153</v>
      </c>
      <c r="B157" s="60">
        <f>B156*(1+Simulator!$B$8)^(1/12)</f>
        <v/>
      </c>
      <c r="C157" s="60">
        <f>IF(AND(A157&gt;1,MOD(A157-1,12)=0),C156*(1+Simulator!$B$7),C156)</f>
        <v/>
      </c>
      <c r="D157" s="60">
        <f>D156+(Simulator!$B$5+D156*C157/12)/B157</f>
        <v/>
      </c>
      <c r="E157" s="60">
        <f>D157*B157</f>
        <v/>
      </c>
      <c r="F157" s="60">
        <f>D157*C157</f>
        <v/>
      </c>
    </row>
    <row r="158">
      <c r="A158" s="60" t="n">
        <v>154</v>
      </c>
      <c r="B158" s="60">
        <f>B157*(1+Simulator!$B$8)^(1/12)</f>
        <v/>
      </c>
      <c r="C158" s="60">
        <f>IF(AND(A158&gt;1,MOD(A158-1,12)=0),C157*(1+Simulator!$B$7),C157)</f>
        <v/>
      </c>
      <c r="D158" s="60">
        <f>D157+(Simulator!$B$5+D157*C158/12)/B158</f>
        <v/>
      </c>
      <c r="E158" s="60">
        <f>D158*B158</f>
        <v/>
      </c>
      <c r="F158" s="60">
        <f>D158*C158</f>
        <v/>
      </c>
    </row>
    <row r="159">
      <c r="A159" s="60" t="n">
        <v>155</v>
      </c>
      <c r="B159" s="60">
        <f>B158*(1+Simulator!$B$8)^(1/12)</f>
        <v/>
      </c>
      <c r="C159" s="60">
        <f>IF(AND(A159&gt;1,MOD(A159-1,12)=0),C158*(1+Simulator!$B$7),C158)</f>
        <v/>
      </c>
      <c r="D159" s="60">
        <f>D158+(Simulator!$B$5+D158*C159/12)/B159</f>
        <v/>
      </c>
      <c r="E159" s="60">
        <f>D159*B159</f>
        <v/>
      </c>
      <c r="F159" s="60">
        <f>D159*C159</f>
        <v/>
      </c>
    </row>
    <row r="160">
      <c r="A160" s="60" t="n">
        <v>156</v>
      </c>
      <c r="B160" s="60">
        <f>B159*(1+Simulator!$B$8)^(1/12)</f>
        <v/>
      </c>
      <c r="C160" s="60">
        <f>IF(AND(A160&gt;1,MOD(A160-1,12)=0),C159*(1+Simulator!$B$7),C159)</f>
        <v/>
      </c>
      <c r="D160" s="60">
        <f>D159+(Simulator!$B$5+D159*C160/12)/B160</f>
        <v/>
      </c>
      <c r="E160" s="60">
        <f>D160*B160</f>
        <v/>
      </c>
      <c r="F160" s="60">
        <f>D160*C160</f>
        <v/>
      </c>
    </row>
    <row r="161">
      <c r="A161" s="60" t="n">
        <v>157</v>
      </c>
      <c r="B161" s="60">
        <f>B160*(1+Simulator!$B$8)^(1/12)</f>
        <v/>
      </c>
      <c r="C161" s="60">
        <f>IF(AND(A161&gt;1,MOD(A161-1,12)=0),C160*(1+Simulator!$B$7),C160)</f>
        <v/>
      </c>
      <c r="D161" s="60">
        <f>D160+(Simulator!$B$5+D160*C161/12)/B161</f>
        <v/>
      </c>
      <c r="E161" s="60">
        <f>D161*B161</f>
        <v/>
      </c>
      <c r="F161" s="60">
        <f>D161*C161</f>
        <v/>
      </c>
    </row>
    <row r="162">
      <c r="A162" s="60" t="n">
        <v>158</v>
      </c>
      <c r="B162" s="60">
        <f>B161*(1+Simulator!$B$8)^(1/12)</f>
        <v/>
      </c>
      <c r="C162" s="60">
        <f>IF(AND(A162&gt;1,MOD(A162-1,12)=0),C161*(1+Simulator!$B$7),C161)</f>
        <v/>
      </c>
      <c r="D162" s="60">
        <f>D161+(Simulator!$B$5+D161*C162/12)/B162</f>
        <v/>
      </c>
      <c r="E162" s="60">
        <f>D162*B162</f>
        <v/>
      </c>
      <c r="F162" s="60">
        <f>D162*C162</f>
        <v/>
      </c>
    </row>
    <row r="163">
      <c r="A163" s="60" t="n">
        <v>159</v>
      </c>
      <c r="B163" s="60">
        <f>B162*(1+Simulator!$B$8)^(1/12)</f>
        <v/>
      </c>
      <c r="C163" s="60">
        <f>IF(AND(A163&gt;1,MOD(A163-1,12)=0),C162*(1+Simulator!$B$7),C162)</f>
        <v/>
      </c>
      <c r="D163" s="60">
        <f>D162+(Simulator!$B$5+D162*C163/12)/B163</f>
        <v/>
      </c>
      <c r="E163" s="60">
        <f>D163*B163</f>
        <v/>
      </c>
      <c r="F163" s="60">
        <f>D163*C163</f>
        <v/>
      </c>
    </row>
    <row r="164">
      <c r="A164" s="60" t="n">
        <v>160</v>
      </c>
      <c r="B164" s="60">
        <f>B163*(1+Simulator!$B$8)^(1/12)</f>
        <v/>
      </c>
      <c r="C164" s="60">
        <f>IF(AND(A164&gt;1,MOD(A164-1,12)=0),C163*(1+Simulator!$B$7),C163)</f>
        <v/>
      </c>
      <c r="D164" s="60">
        <f>D163+(Simulator!$B$5+D163*C164/12)/B164</f>
        <v/>
      </c>
      <c r="E164" s="60">
        <f>D164*B164</f>
        <v/>
      </c>
      <c r="F164" s="60">
        <f>D164*C164</f>
        <v/>
      </c>
    </row>
    <row r="165">
      <c r="A165" s="60" t="n">
        <v>161</v>
      </c>
      <c r="B165" s="60">
        <f>B164*(1+Simulator!$B$8)^(1/12)</f>
        <v/>
      </c>
      <c r="C165" s="60">
        <f>IF(AND(A165&gt;1,MOD(A165-1,12)=0),C164*(1+Simulator!$B$7),C164)</f>
        <v/>
      </c>
      <c r="D165" s="60">
        <f>D164+(Simulator!$B$5+D164*C165/12)/B165</f>
        <v/>
      </c>
      <c r="E165" s="60">
        <f>D165*B165</f>
        <v/>
      </c>
      <c r="F165" s="60">
        <f>D165*C165</f>
        <v/>
      </c>
    </row>
    <row r="166">
      <c r="A166" s="60" t="n">
        <v>162</v>
      </c>
      <c r="B166" s="60">
        <f>B165*(1+Simulator!$B$8)^(1/12)</f>
        <v/>
      </c>
      <c r="C166" s="60">
        <f>IF(AND(A166&gt;1,MOD(A166-1,12)=0),C165*(1+Simulator!$B$7),C165)</f>
        <v/>
      </c>
      <c r="D166" s="60">
        <f>D165+(Simulator!$B$5+D165*C166/12)/B166</f>
        <v/>
      </c>
      <c r="E166" s="60">
        <f>D166*B166</f>
        <v/>
      </c>
      <c r="F166" s="60">
        <f>D166*C166</f>
        <v/>
      </c>
    </row>
    <row r="167">
      <c r="A167" s="60" t="n">
        <v>163</v>
      </c>
      <c r="B167" s="60">
        <f>B166*(1+Simulator!$B$8)^(1/12)</f>
        <v/>
      </c>
      <c r="C167" s="60">
        <f>IF(AND(A167&gt;1,MOD(A167-1,12)=0),C166*(1+Simulator!$B$7),C166)</f>
        <v/>
      </c>
      <c r="D167" s="60">
        <f>D166+(Simulator!$B$5+D166*C167/12)/B167</f>
        <v/>
      </c>
      <c r="E167" s="60">
        <f>D167*B167</f>
        <v/>
      </c>
      <c r="F167" s="60">
        <f>D167*C167</f>
        <v/>
      </c>
    </row>
    <row r="168">
      <c r="A168" s="60" t="n">
        <v>164</v>
      </c>
      <c r="B168" s="60">
        <f>B167*(1+Simulator!$B$8)^(1/12)</f>
        <v/>
      </c>
      <c r="C168" s="60">
        <f>IF(AND(A168&gt;1,MOD(A168-1,12)=0),C167*(1+Simulator!$B$7),C167)</f>
        <v/>
      </c>
      <c r="D168" s="60">
        <f>D167+(Simulator!$B$5+D167*C168/12)/B168</f>
        <v/>
      </c>
      <c r="E168" s="60">
        <f>D168*B168</f>
        <v/>
      </c>
      <c r="F168" s="60">
        <f>D168*C168</f>
        <v/>
      </c>
    </row>
    <row r="169">
      <c r="A169" s="60" t="n">
        <v>165</v>
      </c>
      <c r="B169" s="60">
        <f>B168*(1+Simulator!$B$8)^(1/12)</f>
        <v/>
      </c>
      <c r="C169" s="60">
        <f>IF(AND(A169&gt;1,MOD(A169-1,12)=0),C168*(1+Simulator!$B$7),C168)</f>
        <v/>
      </c>
      <c r="D169" s="60">
        <f>D168+(Simulator!$B$5+D168*C169/12)/B169</f>
        <v/>
      </c>
      <c r="E169" s="60">
        <f>D169*B169</f>
        <v/>
      </c>
      <c r="F169" s="60">
        <f>D169*C169</f>
        <v/>
      </c>
    </row>
    <row r="170">
      <c r="A170" s="60" t="n">
        <v>166</v>
      </c>
      <c r="B170" s="60">
        <f>B169*(1+Simulator!$B$8)^(1/12)</f>
        <v/>
      </c>
      <c r="C170" s="60">
        <f>IF(AND(A170&gt;1,MOD(A170-1,12)=0),C169*(1+Simulator!$B$7),C169)</f>
        <v/>
      </c>
      <c r="D170" s="60">
        <f>D169+(Simulator!$B$5+D169*C170/12)/B170</f>
        <v/>
      </c>
      <c r="E170" s="60">
        <f>D170*B170</f>
        <v/>
      </c>
      <c r="F170" s="60">
        <f>D170*C170</f>
        <v/>
      </c>
    </row>
    <row r="171">
      <c r="A171" s="60" t="n">
        <v>167</v>
      </c>
      <c r="B171" s="60">
        <f>B170*(1+Simulator!$B$8)^(1/12)</f>
        <v/>
      </c>
      <c r="C171" s="60">
        <f>IF(AND(A171&gt;1,MOD(A171-1,12)=0),C170*(1+Simulator!$B$7),C170)</f>
        <v/>
      </c>
      <c r="D171" s="60">
        <f>D170+(Simulator!$B$5+D170*C171/12)/B171</f>
        <v/>
      </c>
      <c r="E171" s="60">
        <f>D171*B171</f>
        <v/>
      </c>
      <c r="F171" s="60">
        <f>D171*C171</f>
        <v/>
      </c>
    </row>
    <row r="172">
      <c r="A172" s="60" t="n">
        <v>168</v>
      </c>
      <c r="B172" s="60">
        <f>B171*(1+Simulator!$B$8)^(1/12)</f>
        <v/>
      </c>
      <c r="C172" s="60">
        <f>IF(AND(A172&gt;1,MOD(A172-1,12)=0),C171*(1+Simulator!$B$7),C171)</f>
        <v/>
      </c>
      <c r="D172" s="60">
        <f>D171+(Simulator!$B$5+D171*C172/12)/B172</f>
        <v/>
      </c>
      <c r="E172" s="60">
        <f>D172*B172</f>
        <v/>
      </c>
      <c r="F172" s="60">
        <f>D172*C172</f>
        <v/>
      </c>
    </row>
    <row r="173">
      <c r="A173" s="60" t="n">
        <v>169</v>
      </c>
      <c r="B173" s="60">
        <f>B172*(1+Simulator!$B$8)^(1/12)</f>
        <v/>
      </c>
      <c r="C173" s="60">
        <f>IF(AND(A173&gt;1,MOD(A173-1,12)=0),C172*(1+Simulator!$B$7),C172)</f>
        <v/>
      </c>
      <c r="D173" s="60">
        <f>D172+(Simulator!$B$5+D172*C173/12)/B173</f>
        <v/>
      </c>
      <c r="E173" s="60">
        <f>D173*B173</f>
        <v/>
      </c>
      <c r="F173" s="60">
        <f>D173*C173</f>
        <v/>
      </c>
    </row>
    <row r="174">
      <c r="A174" s="60" t="n">
        <v>170</v>
      </c>
      <c r="B174" s="60">
        <f>B173*(1+Simulator!$B$8)^(1/12)</f>
        <v/>
      </c>
      <c r="C174" s="60">
        <f>IF(AND(A174&gt;1,MOD(A174-1,12)=0),C173*(1+Simulator!$B$7),C173)</f>
        <v/>
      </c>
      <c r="D174" s="60">
        <f>D173+(Simulator!$B$5+D173*C174/12)/B174</f>
        <v/>
      </c>
      <c r="E174" s="60">
        <f>D174*B174</f>
        <v/>
      </c>
      <c r="F174" s="60">
        <f>D174*C174</f>
        <v/>
      </c>
    </row>
    <row r="175">
      <c r="A175" s="60" t="n">
        <v>171</v>
      </c>
      <c r="B175" s="60">
        <f>B174*(1+Simulator!$B$8)^(1/12)</f>
        <v/>
      </c>
      <c r="C175" s="60">
        <f>IF(AND(A175&gt;1,MOD(A175-1,12)=0),C174*(1+Simulator!$B$7),C174)</f>
        <v/>
      </c>
      <c r="D175" s="60">
        <f>D174+(Simulator!$B$5+D174*C175/12)/B175</f>
        <v/>
      </c>
      <c r="E175" s="60">
        <f>D175*B175</f>
        <v/>
      </c>
      <c r="F175" s="60">
        <f>D175*C175</f>
        <v/>
      </c>
    </row>
    <row r="176">
      <c r="A176" s="60" t="n">
        <v>172</v>
      </c>
      <c r="B176" s="60">
        <f>B175*(1+Simulator!$B$8)^(1/12)</f>
        <v/>
      </c>
      <c r="C176" s="60">
        <f>IF(AND(A176&gt;1,MOD(A176-1,12)=0),C175*(1+Simulator!$B$7),C175)</f>
        <v/>
      </c>
      <c r="D176" s="60">
        <f>D175+(Simulator!$B$5+D175*C176/12)/B176</f>
        <v/>
      </c>
      <c r="E176" s="60">
        <f>D176*B176</f>
        <v/>
      </c>
      <c r="F176" s="60">
        <f>D176*C176</f>
        <v/>
      </c>
    </row>
    <row r="177">
      <c r="A177" s="60" t="n">
        <v>173</v>
      </c>
      <c r="B177" s="60">
        <f>B176*(1+Simulator!$B$8)^(1/12)</f>
        <v/>
      </c>
      <c r="C177" s="60">
        <f>IF(AND(A177&gt;1,MOD(A177-1,12)=0),C176*(1+Simulator!$B$7),C176)</f>
        <v/>
      </c>
      <c r="D177" s="60">
        <f>D176+(Simulator!$B$5+D176*C177/12)/B177</f>
        <v/>
      </c>
      <c r="E177" s="60">
        <f>D177*B177</f>
        <v/>
      </c>
      <c r="F177" s="60">
        <f>D177*C177</f>
        <v/>
      </c>
    </row>
    <row r="178">
      <c r="A178" s="60" t="n">
        <v>174</v>
      </c>
      <c r="B178" s="60">
        <f>B177*(1+Simulator!$B$8)^(1/12)</f>
        <v/>
      </c>
      <c r="C178" s="60">
        <f>IF(AND(A178&gt;1,MOD(A178-1,12)=0),C177*(1+Simulator!$B$7),C177)</f>
        <v/>
      </c>
      <c r="D178" s="60">
        <f>D177+(Simulator!$B$5+D177*C178/12)/B178</f>
        <v/>
      </c>
      <c r="E178" s="60">
        <f>D178*B178</f>
        <v/>
      </c>
      <c r="F178" s="60">
        <f>D178*C178</f>
        <v/>
      </c>
    </row>
    <row r="179">
      <c r="A179" s="60" t="n">
        <v>175</v>
      </c>
      <c r="B179" s="60">
        <f>B178*(1+Simulator!$B$8)^(1/12)</f>
        <v/>
      </c>
      <c r="C179" s="60">
        <f>IF(AND(A179&gt;1,MOD(A179-1,12)=0),C178*(1+Simulator!$B$7),C178)</f>
        <v/>
      </c>
      <c r="D179" s="60">
        <f>D178+(Simulator!$B$5+D178*C179/12)/B179</f>
        <v/>
      </c>
      <c r="E179" s="60">
        <f>D179*B179</f>
        <v/>
      </c>
      <c r="F179" s="60">
        <f>D179*C179</f>
        <v/>
      </c>
    </row>
    <row r="180">
      <c r="A180" s="60" t="n">
        <v>176</v>
      </c>
      <c r="B180" s="60">
        <f>B179*(1+Simulator!$B$8)^(1/12)</f>
        <v/>
      </c>
      <c r="C180" s="60">
        <f>IF(AND(A180&gt;1,MOD(A180-1,12)=0),C179*(1+Simulator!$B$7),C179)</f>
        <v/>
      </c>
      <c r="D180" s="60">
        <f>D179+(Simulator!$B$5+D179*C180/12)/B180</f>
        <v/>
      </c>
      <c r="E180" s="60">
        <f>D180*B180</f>
        <v/>
      </c>
      <c r="F180" s="60">
        <f>D180*C180</f>
        <v/>
      </c>
    </row>
    <row r="181">
      <c r="A181" s="60" t="n">
        <v>177</v>
      </c>
      <c r="B181" s="60">
        <f>B180*(1+Simulator!$B$8)^(1/12)</f>
        <v/>
      </c>
      <c r="C181" s="60">
        <f>IF(AND(A181&gt;1,MOD(A181-1,12)=0),C180*(1+Simulator!$B$7),C180)</f>
        <v/>
      </c>
      <c r="D181" s="60">
        <f>D180+(Simulator!$B$5+D180*C181/12)/B181</f>
        <v/>
      </c>
      <c r="E181" s="60">
        <f>D181*B181</f>
        <v/>
      </c>
      <c r="F181" s="60">
        <f>D181*C181</f>
        <v/>
      </c>
    </row>
    <row r="182">
      <c r="A182" s="60" t="n">
        <v>178</v>
      </c>
      <c r="B182" s="60">
        <f>B181*(1+Simulator!$B$8)^(1/12)</f>
        <v/>
      </c>
      <c r="C182" s="60">
        <f>IF(AND(A182&gt;1,MOD(A182-1,12)=0),C181*(1+Simulator!$B$7),C181)</f>
        <v/>
      </c>
      <c r="D182" s="60">
        <f>D181+(Simulator!$B$5+D181*C182/12)/B182</f>
        <v/>
      </c>
      <c r="E182" s="60">
        <f>D182*B182</f>
        <v/>
      </c>
      <c r="F182" s="60">
        <f>D182*C182</f>
        <v/>
      </c>
    </row>
    <row r="183">
      <c r="A183" s="60" t="n">
        <v>179</v>
      </c>
      <c r="B183" s="60">
        <f>B182*(1+Simulator!$B$8)^(1/12)</f>
        <v/>
      </c>
      <c r="C183" s="60">
        <f>IF(AND(A183&gt;1,MOD(A183-1,12)=0),C182*(1+Simulator!$B$7),C182)</f>
        <v/>
      </c>
      <c r="D183" s="60">
        <f>D182+(Simulator!$B$5+D182*C183/12)/B183</f>
        <v/>
      </c>
      <c r="E183" s="60">
        <f>D183*B183</f>
        <v/>
      </c>
      <c r="F183" s="60">
        <f>D183*C183</f>
        <v/>
      </c>
    </row>
    <row r="184">
      <c r="A184" s="60" t="n">
        <v>180</v>
      </c>
      <c r="B184" s="60">
        <f>B183*(1+Simulator!$B$8)^(1/12)</f>
        <v/>
      </c>
      <c r="C184" s="60">
        <f>IF(AND(A184&gt;1,MOD(A184-1,12)=0),C183*(1+Simulator!$B$7),C183)</f>
        <v/>
      </c>
      <c r="D184" s="60">
        <f>D183+(Simulator!$B$5+D183*C184/12)/B184</f>
        <v/>
      </c>
      <c r="E184" s="60">
        <f>D184*B184</f>
        <v/>
      </c>
      <c r="F184" s="60">
        <f>D184*C184</f>
        <v/>
      </c>
    </row>
    <row r="185">
      <c r="A185" s="60" t="n">
        <v>181</v>
      </c>
      <c r="B185" s="60">
        <f>B184*(1+Simulator!$B$8)^(1/12)</f>
        <v/>
      </c>
      <c r="C185" s="60">
        <f>IF(AND(A185&gt;1,MOD(A185-1,12)=0),C184*(1+Simulator!$B$7),C184)</f>
        <v/>
      </c>
      <c r="D185" s="60">
        <f>D184+(Simulator!$B$5+D184*C185/12)/B185</f>
        <v/>
      </c>
      <c r="E185" s="60">
        <f>D185*B185</f>
        <v/>
      </c>
      <c r="F185" s="60">
        <f>D185*C185</f>
        <v/>
      </c>
    </row>
    <row r="186">
      <c r="A186" s="60" t="n">
        <v>182</v>
      </c>
      <c r="B186" s="60">
        <f>B185*(1+Simulator!$B$8)^(1/12)</f>
        <v/>
      </c>
      <c r="C186" s="60">
        <f>IF(AND(A186&gt;1,MOD(A186-1,12)=0),C185*(1+Simulator!$B$7),C185)</f>
        <v/>
      </c>
      <c r="D186" s="60">
        <f>D185+(Simulator!$B$5+D185*C186/12)/B186</f>
        <v/>
      </c>
      <c r="E186" s="60">
        <f>D186*B186</f>
        <v/>
      </c>
      <c r="F186" s="60">
        <f>D186*C186</f>
        <v/>
      </c>
    </row>
    <row r="187">
      <c r="A187" s="60" t="n">
        <v>183</v>
      </c>
      <c r="B187" s="60">
        <f>B186*(1+Simulator!$B$8)^(1/12)</f>
        <v/>
      </c>
      <c r="C187" s="60">
        <f>IF(AND(A187&gt;1,MOD(A187-1,12)=0),C186*(1+Simulator!$B$7),C186)</f>
        <v/>
      </c>
      <c r="D187" s="60">
        <f>D186+(Simulator!$B$5+D186*C187/12)/B187</f>
        <v/>
      </c>
      <c r="E187" s="60">
        <f>D187*B187</f>
        <v/>
      </c>
      <c r="F187" s="60">
        <f>D187*C187</f>
        <v/>
      </c>
    </row>
    <row r="188">
      <c r="A188" s="60" t="n">
        <v>184</v>
      </c>
      <c r="B188" s="60">
        <f>B187*(1+Simulator!$B$8)^(1/12)</f>
        <v/>
      </c>
      <c r="C188" s="60">
        <f>IF(AND(A188&gt;1,MOD(A188-1,12)=0),C187*(1+Simulator!$B$7),C187)</f>
        <v/>
      </c>
      <c r="D188" s="60">
        <f>D187+(Simulator!$B$5+D187*C188/12)/B188</f>
        <v/>
      </c>
      <c r="E188" s="60">
        <f>D188*B188</f>
        <v/>
      </c>
      <c r="F188" s="60">
        <f>D188*C188</f>
        <v/>
      </c>
    </row>
    <row r="189">
      <c r="A189" s="60" t="n">
        <v>185</v>
      </c>
      <c r="B189" s="60">
        <f>B188*(1+Simulator!$B$8)^(1/12)</f>
        <v/>
      </c>
      <c r="C189" s="60">
        <f>IF(AND(A189&gt;1,MOD(A189-1,12)=0),C188*(1+Simulator!$B$7),C188)</f>
        <v/>
      </c>
      <c r="D189" s="60">
        <f>D188+(Simulator!$B$5+D188*C189/12)/B189</f>
        <v/>
      </c>
      <c r="E189" s="60">
        <f>D189*B189</f>
        <v/>
      </c>
      <c r="F189" s="60">
        <f>D189*C189</f>
        <v/>
      </c>
    </row>
    <row r="190">
      <c r="A190" s="60" t="n">
        <v>186</v>
      </c>
      <c r="B190" s="60">
        <f>B189*(1+Simulator!$B$8)^(1/12)</f>
        <v/>
      </c>
      <c r="C190" s="60">
        <f>IF(AND(A190&gt;1,MOD(A190-1,12)=0),C189*(1+Simulator!$B$7),C189)</f>
        <v/>
      </c>
      <c r="D190" s="60">
        <f>D189+(Simulator!$B$5+D189*C190/12)/B190</f>
        <v/>
      </c>
      <c r="E190" s="60">
        <f>D190*B190</f>
        <v/>
      </c>
      <c r="F190" s="60">
        <f>D190*C190</f>
        <v/>
      </c>
    </row>
    <row r="191">
      <c r="A191" s="60" t="n">
        <v>187</v>
      </c>
      <c r="B191" s="60">
        <f>B190*(1+Simulator!$B$8)^(1/12)</f>
        <v/>
      </c>
      <c r="C191" s="60">
        <f>IF(AND(A191&gt;1,MOD(A191-1,12)=0),C190*(1+Simulator!$B$7),C190)</f>
        <v/>
      </c>
      <c r="D191" s="60">
        <f>D190+(Simulator!$B$5+D190*C191/12)/B191</f>
        <v/>
      </c>
      <c r="E191" s="60">
        <f>D191*B191</f>
        <v/>
      </c>
      <c r="F191" s="60">
        <f>D191*C191</f>
        <v/>
      </c>
    </row>
    <row r="192">
      <c r="A192" s="60" t="n">
        <v>188</v>
      </c>
      <c r="B192" s="60">
        <f>B191*(1+Simulator!$B$8)^(1/12)</f>
        <v/>
      </c>
      <c r="C192" s="60">
        <f>IF(AND(A192&gt;1,MOD(A192-1,12)=0),C191*(1+Simulator!$B$7),C191)</f>
        <v/>
      </c>
      <c r="D192" s="60">
        <f>D191+(Simulator!$B$5+D191*C192/12)/B192</f>
        <v/>
      </c>
      <c r="E192" s="60">
        <f>D192*B192</f>
        <v/>
      </c>
      <c r="F192" s="60">
        <f>D192*C192</f>
        <v/>
      </c>
    </row>
    <row r="193">
      <c r="A193" s="60" t="n">
        <v>189</v>
      </c>
      <c r="B193" s="60">
        <f>B192*(1+Simulator!$B$8)^(1/12)</f>
        <v/>
      </c>
      <c r="C193" s="60">
        <f>IF(AND(A193&gt;1,MOD(A193-1,12)=0),C192*(1+Simulator!$B$7),C192)</f>
        <v/>
      </c>
      <c r="D193" s="60">
        <f>D192+(Simulator!$B$5+D192*C193/12)/B193</f>
        <v/>
      </c>
      <c r="E193" s="60">
        <f>D193*B193</f>
        <v/>
      </c>
      <c r="F193" s="60">
        <f>D193*C193</f>
        <v/>
      </c>
    </row>
    <row r="194">
      <c r="A194" s="60" t="n">
        <v>190</v>
      </c>
      <c r="B194" s="60">
        <f>B193*(1+Simulator!$B$8)^(1/12)</f>
        <v/>
      </c>
      <c r="C194" s="60">
        <f>IF(AND(A194&gt;1,MOD(A194-1,12)=0),C193*(1+Simulator!$B$7),C193)</f>
        <v/>
      </c>
      <c r="D194" s="60">
        <f>D193+(Simulator!$B$5+D193*C194/12)/B194</f>
        <v/>
      </c>
      <c r="E194" s="60">
        <f>D194*B194</f>
        <v/>
      </c>
      <c r="F194" s="60">
        <f>D194*C194</f>
        <v/>
      </c>
    </row>
    <row r="195">
      <c r="A195" s="60" t="n">
        <v>191</v>
      </c>
      <c r="B195" s="60">
        <f>B194*(1+Simulator!$B$8)^(1/12)</f>
        <v/>
      </c>
      <c r="C195" s="60">
        <f>IF(AND(A195&gt;1,MOD(A195-1,12)=0),C194*(1+Simulator!$B$7),C194)</f>
        <v/>
      </c>
      <c r="D195" s="60">
        <f>D194+(Simulator!$B$5+D194*C195/12)/B195</f>
        <v/>
      </c>
      <c r="E195" s="60">
        <f>D195*B195</f>
        <v/>
      </c>
      <c r="F195" s="60">
        <f>D195*C195</f>
        <v/>
      </c>
    </row>
    <row r="196">
      <c r="A196" s="60" t="n">
        <v>192</v>
      </c>
      <c r="B196" s="60">
        <f>B195*(1+Simulator!$B$8)^(1/12)</f>
        <v/>
      </c>
      <c r="C196" s="60">
        <f>IF(AND(A196&gt;1,MOD(A196-1,12)=0),C195*(1+Simulator!$B$7),C195)</f>
        <v/>
      </c>
      <c r="D196" s="60">
        <f>D195+(Simulator!$B$5+D195*C196/12)/B196</f>
        <v/>
      </c>
      <c r="E196" s="60">
        <f>D196*B196</f>
        <v/>
      </c>
      <c r="F196" s="60">
        <f>D196*C196</f>
        <v/>
      </c>
    </row>
    <row r="197">
      <c r="A197" s="60" t="n">
        <v>193</v>
      </c>
      <c r="B197" s="60">
        <f>B196*(1+Simulator!$B$8)^(1/12)</f>
        <v/>
      </c>
      <c r="C197" s="60">
        <f>IF(AND(A197&gt;1,MOD(A197-1,12)=0),C196*(1+Simulator!$B$7),C196)</f>
        <v/>
      </c>
      <c r="D197" s="60">
        <f>D196+(Simulator!$B$5+D196*C197/12)/B197</f>
        <v/>
      </c>
      <c r="E197" s="60">
        <f>D197*B197</f>
        <v/>
      </c>
      <c r="F197" s="60">
        <f>D197*C197</f>
        <v/>
      </c>
    </row>
    <row r="198">
      <c r="A198" s="60" t="n">
        <v>194</v>
      </c>
      <c r="B198" s="60">
        <f>B197*(1+Simulator!$B$8)^(1/12)</f>
        <v/>
      </c>
      <c r="C198" s="60">
        <f>IF(AND(A198&gt;1,MOD(A198-1,12)=0),C197*(1+Simulator!$B$7),C197)</f>
        <v/>
      </c>
      <c r="D198" s="60">
        <f>D197+(Simulator!$B$5+D197*C198/12)/B198</f>
        <v/>
      </c>
      <c r="E198" s="60">
        <f>D198*B198</f>
        <v/>
      </c>
      <c r="F198" s="60">
        <f>D198*C198</f>
        <v/>
      </c>
    </row>
    <row r="199">
      <c r="A199" s="60" t="n">
        <v>195</v>
      </c>
      <c r="B199" s="60">
        <f>B198*(1+Simulator!$B$8)^(1/12)</f>
        <v/>
      </c>
      <c r="C199" s="60">
        <f>IF(AND(A199&gt;1,MOD(A199-1,12)=0),C198*(1+Simulator!$B$7),C198)</f>
        <v/>
      </c>
      <c r="D199" s="60">
        <f>D198+(Simulator!$B$5+D198*C199/12)/B199</f>
        <v/>
      </c>
      <c r="E199" s="60">
        <f>D199*B199</f>
        <v/>
      </c>
      <c r="F199" s="60">
        <f>D199*C199</f>
        <v/>
      </c>
    </row>
    <row r="200">
      <c r="A200" s="60" t="n">
        <v>196</v>
      </c>
      <c r="B200" s="60">
        <f>B199*(1+Simulator!$B$8)^(1/12)</f>
        <v/>
      </c>
      <c r="C200" s="60">
        <f>IF(AND(A200&gt;1,MOD(A200-1,12)=0),C199*(1+Simulator!$B$7),C199)</f>
        <v/>
      </c>
      <c r="D200" s="60">
        <f>D199+(Simulator!$B$5+D199*C200/12)/B200</f>
        <v/>
      </c>
      <c r="E200" s="60">
        <f>D200*B200</f>
        <v/>
      </c>
      <c r="F200" s="60">
        <f>D200*C200</f>
        <v/>
      </c>
    </row>
    <row r="201">
      <c r="A201" s="60" t="n">
        <v>197</v>
      </c>
      <c r="B201" s="60">
        <f>B200*(1+Simulator!$B$8)^(1/12)</f>
        <v/>
      </c>
      <c r="C201" s="60">
        <f>IF(AND(A201&gt;1,MOD(A201-1,12)=0),C200*(1+Simulator!$B$7),C200)</f>
        <v/>
      </c>
      <c r="D201" s="60">
        <f>D200+(Simulator!$B$5+D200*C201/12)/B201</f>
        <v/>
      </c>
      <c r="E201" s="60">
        <f>D201*B201</f>
        <v/>
      </c>
      <c r="F201" s="60">
        <f>D201*C201</f>
        <v/>
      </c>
    </row>
    <row r="202">
      <c r="A202" s="60" t="n">
        <v>198</v>
      </c>
      <c r="B202" s="60">
        <f>B201*(1+Simulator!$B$8)^(1/12)</f>
        <v/>
      </c>
      <c r="C202" s="60">
        <f>IF(AND(A202&gt;1,MOD(A202-1,12)=0),C201*(1+Simulator!$B$7),C201)</f>
        <v/>
      </c>
      <c r="D202" s="60">
        <f>D201+(Simulator!$B$5+D201*C202/12)/B202</f>
        <v/>
      </c>
      <c r="E202" s="60">
        <f>D202*B202</f>
        <v/>
      </c>
      <c r="F202" s="60">
        <f>D202*C202</f>
        <v/>
      </c>
    </row>
    <row r="203">
      <c r="A203" s="60" t="n">
        <v>199</v>
      </c>
      <c r="B203" s="60">
        <f>B202*(1+Simulator!$B$8)^(1/12)</f>
        <v/>
      </c>
      <c r="C203" s="60">
        <f>IF(AND(A203&gt;1,MOD(A203-1,12)=0),C202*(1+Simulator!$B$7),C202)</f>
        <v/>
      </c>
      <c r="D203" s="60">
        <f>D202+(Simulator!$B$5+D202*C203/12)/B203</f>
        <v/>
      </c>
      <c r="E203" s="60">
        <f>D203*B203</f>
        <v/>
      </c>
      <c r="F203" s="60">
        <f>D203*C203</f>
        <v/>
      </c>
    </row>
    <row r="204">
      <c r="A204" s="60" t="n">
        <v>200</v>
      </c>
      <c r="B204" s="60">
        <f>B203*(1+Simulator!$B$8)^(1/12)</f>
        <v/>
      </c>
      <c r="C204" s="60">
        <f>IF(AND(A204&gt;1,MOD(A204-1,12)=0),C203*(1+Simulator!$B$7),C203)</f>
        <v/>
      </c>
      <c r="D204" s="60">
        <f>D203+(Simulator!$B$5+D203*C204/12)/B204</f>
        <v/>
      </c>
      <c r="E204" s="60">
        <f>D204*B204</f>
        <v/>
      </c>
      <c r="F204" s="60">
        <f>D204*C204</f>
        <v/>
      </c>
    </row>
    <row r="205">
      <c r="A205" s="60" t="n">
        <v>201</v>
      </c>
      <c r="B205" s="60">
        <f>B204*(1+Simulator!$B$8)^(1/12)</f>
        <v/>
      </c>
      <c r="C205" s="60">
        <f>IF(AND(A205&gt;1,MOD(A205-1,12)=0),C204*(1+Simulator!$B$7),C204)</f>
        <v/>
      </c>
      <c r="D205" s="60">
        <f>D204+(Simulator!$B$5+D204*C205/12)/B205</f>
        <v/>
      </c>
      <c r="E205" s="60">
        <f>D205*B205</f>
        <v/>
      </c>
      <c r="F205" s="60">
        <f>D205*C205</f>
        <v/>
      </c>
    </row>
    <row r="206">
      <c r="A206" s="60" t="n">
        <v>202</v>
      </c>
      <c r="B206" s="60">
        <f>B205*(1+Simulator!$B$8)^(1/12)</f>
        <v/>
      </c>
      <c r="C206" s="60">
        <f>IF(AND(A206&gt;1,MOD(A206-1,12)=0),C205*(1+Simulator!$B$7),C205)</f>
        <v/>
      </c>
      <c r="D206" s="60">
        <f>D205+(Simulator!$B$5+D205*C206/12)/B206</f>
        <v/>
      </c>
      <c r="E206" s="60">
        <f>D206*B206</f>
        <v/>
      </c>
      <c r="F206" s="60">
        <f>D206*C206</f>
        <v/>
      </c>
    </row>
    <row r="207">
      <c r="A207" s="60" t="n">
        <v>203</v>
      </c>
      <c r="B207" s="60">
        <f>B206*(1+Simulator!$B$8)^(1/12)</f>
        <v/>
      </c>
      <c r="C207" s="60">
        <f>IF(AND(A207&gt;1,MOD(A207-1,12)=0),C206*(1+Simulator!$B$7),C206)</f>
        <v/>
      </c>
      <c r="D207" s="60">
        <f>D206+(Simulator!$B$5+D206*C207/12)/B207</f>
        <v/>
      </c>
      <c r="E207" s="60">
        <f>D207*B207</f>
        <v/>
      </c>
      <c r="F207" s="60">
        <f>D207*C207</f>
        <v/>
      </c>
    </row>
    <row r="208">
      <c r="A208" s="60" t="n">
        <v>204</v>
      </c>
      <c r="B208" s="60">
        <f>B207*(1+Simulator!$B$8)^(1/12)</f>
        <v/>
      </c>
      <c r="C208" s="60">
        <f>IF(AND(A208&gt;1,MOD(A208-1,12)=0),C207*(1+Simulator!$B$7),C207)</f>
        <v/>
      </c>
      <c r="D208" s="60">
        <f>D207+(Simulator!$B$5+D207*C208/12)/B208</f>
        <v/>
      </c>
      <c r="E208" s="60">
        <f>D208*B208</f>
        <v/>
      </c>
      <c r="F208" s="60">
        <f>D208*C208</f>
        <v/>
      </c>
    </row>
    <row r="209">
      <c r="A209" s="60" t="n">
        <v>205</v>
      </c>
      <c r="B209" s="60">
        <f>B208*(1+Simulator!$B$8)^(1/12)</f>
        <v/>
      </c>
      <c r="C209" s="60">
        <f>IF(AND(A209&gt;1,MOD(A209-1,12)=0),C208*(1+Simulator!$B$7),C208)</f>
        <v/>
      </c>
      <c r="D209" s="60">
        <f>D208+(Simulator!$B$5+D208*C209/12)/B209</f>
        <v/>
      </c>
      <c r="E209" s="60">
        <f>D209*B209</f>
        <v/>
      </c>
      <c r="F209" s="60">
        <f>D209*C209</f>
        <v/>
      </c>
    </row>
    <row r="210">
      <c r="A210" s="60" t="n">
        <v>206</v>
      </c>
      <c r="B210" s="60">
        <f>B209*(1+Simulator!$B$8)^(1/12)</f>
        <v/>
      </c>
      <c r="C210" s="60">
        <f>IF(AND(A210&gt;1,MOD(A210-1,12)=0),C209*(1+Simulator!$B$7),C209)</f>
        <v/>
      </c>
      <c r="D210" s="60">
        <f>D209+(Simulator!$B$5+D209*C210/12)/B210</f>
        <v/>
      </c>
      <c r="E210" s="60">
        <f>D210*B210</f>
        <v/>
      </c>
      <c r="F210" s="60">
        <f>D210*C210</f>
        <v/>
      </c>
    </row>
    <row r="211">
      <c r="A211" s="60" t="n">
        <v>207</v>
      </c>
      <c r="B211" s="60">
        <f>B210*(1+Simulator!$B$8)^(1/12)</f>
        <v/>
      </c>
      <c r="C211" s="60">
        <f>IF(AND(A211&gt;1,MOD(A211-1,12)=0),C210*(1+Simulator!$B$7),C210)</f>
        <v/>
      </c>
      <c r="D211" s="60">
        <f>D210+(Simulator!$B$5+D210*C211/12)/B211</f>
        <v/>
      </c>
      <c r="E211" s="60">
        <f>D211*B211</f>
        <v/>
      </c>
      <c r="F211" s="60">
        <f>D211*C211</f>
        <v/>
      </c>
    </row>
    <row r="212">
      <c r="A212" s="60" t="n">
        <v>208</v>
      </c>
      <c r="B212" s="60">
        <f>B211*(1+Simulator!$B$8)^(1/12)</f>
        <v/>
      </c>
      <c r="C212" s="60">
        <f>IF(AND(A212&gt;1,MOD(A212-1,12)=0),C211*(1+Simulator!$B$7),C211)</f>
        <v/>
      </c>
      <c r="D212" s="60">
        <f>D211+(Simulator!$B$5+D211*C212/12)/B212</f>
        <v/>
      </c>
      <c r="E212" s="60">
        <f>D212*B212</f>
        <v/>
      </c>
      <c r="F212" s="60">
        <f>D212*C212</f>
        <v/>
      </c>
    </row>
    <row r="213">
      <c r="A213" s="60" t="n">
        <v>209</v>
      </c>
      <c r="B213" s="60">
        <f>B212*(1+Simulator!$B$8)^(1/12)</f>
        <v/>
      </c>
      <c r="C213" s="60">
        <f>IF(AND(A213&gt;1,MOD(A213-1,12)=0),C212*(1+Simulator!$B$7),C212)</f>
        <v/>
      </c>
      <c r="D213" s="60">
        <f>D212+(Simulator!$B$5+D212*C213/12)/B213</f>
        <v/>
      </c>
      <c r="E213" s="60">
        <f>D213*B213</f>
        <v/>
      </c>
      <c r="F213" s="60">
        <f>D213*C213</f>
        <v/>
      </c>
    </row>
    <row r="214">
      <c r="A214" s="60" t="n">
        <v>210</v>
      </c>
      <c r="B214" s="60">
        <f>B213*(1+Simulator!$B$8)^(1/12)</f>
        <v/>
      </c>
      <c r="C214" s="60">
        <f>IF(AND(A214&gt;1,MOD(A214-1,12)=0),C213*(1+Simulator!$B$7),C213)</f>
        <v/>
      </c>
      <c r="D214" s="60">
        <f>D213+(Simulator!$B$5+D213*C214/12)/B214</f>
        <v/>
      </c>
      <c r="E214" s="60">
        <f>D214*B214</f>
        <v/>
      </c>
      <c r="F214" s="60">
        <f>D214*C214</f>
        <v/>
      </c>
    </row>
    <row r="215">
      <c r="A215" s="60" t="n">
        <v>211</v>
      </c>
      <c r="B215" s="60">
        <f>B214*(1+Simulator!$B$8)^(1/12)</f>
        <v/>
      </c>
      <c r="C215" s="60">
        <f>IF(AND(A215&gt;1,MOD(A215-1,12)=0),C214*(1+Simulator!$B$7),C214)</f>
        <v/>
      </c>
      <c r="D215" s="60">
        <f>D214+(Simulator!$B$5+D214*C215/12)/B215</f>
        <v/>
      </c>
      <c r="E215" s="60">
        <f>D215*B215</f>
        <v/>
      </c>
      <c r="F215" s="60">
        <f>D215*C215</f>
        <v/>
      </c>
    </row>
    <row r="216">
      <c r="A216" s="60" t="n">
        <v>212</v>
      </c>
      <c r="B216" s="60">
        <f>B215*(1+Simulator!$B$8)^(1/12)</f>
        <v/>
      </c>
      <c r="C216" s="60">
        <f>IF(AND(A216&gt;1,MOD(A216-1,12)=0),C215*(1+Simulator!$B$7),C215)</f>
        <v/>
      </c>
      <c r="D216" s="60">
        <f>D215+(Simulator!$B$5+D215*C216/12)/B216</f>
        <v/>
      </c>
      <c r="E216" s="60">
        <f>D216*B216</f>
        <v/>
      </c>
      <c r="F216" s="60">
        <f>D216*C216</f>
        <v/>
      </c>
    </row>
    <row r="217">
      <c r="A217" s="60" t="n">
        <v>213</v>
      </c>
      <c r="B217" s="60">
        <f>B216*(1+Simulator!$B$8)^(1/12)</f>
        <v/>
      </c>
      <c r="C217" s="60">
        <f>IF(AND(A217&gt;1,MOD(A217-1,12)=0),C216*(1+Simulator!$B$7),C216)</f>
        <v/>
      </c>
      <c r="D217" s="60">
        <f>D216+(Simulator!$B$5+D216*C217/12)/B217</f>
        <v/>
      </c>
      <c r="E217" s="60">
        <f>D217*B217</f>
        <v/>
      </c>
      <c r="F217" s="60">
        <f>D217*C217</f>
        <v/>
      </c>
    </row>
    <row r="218">
      <c r="A218" s="60" t="n">
        <v>214</v>
      </c>
      <c r="B218" s="60">
        <f>B217*(1+Simulator!$B$8)^(1/12)</f>
        <v/>
      </c>
      <c r="C218" s="60">
        <f>IF(AND(A218&gt;1,MOD(A218-1,12)=0),C217*(1+Simulator!$B$7),C217)</f>
        <v/>
      </c>
      <c r="D218" s="60">
        <f>D217+(Simulator!$B$5+D217*C218/12)/B218</f>
        <v/>
      </c>
      <c r="E218" s="60">
        <f>D218*B218</f>
        <v/>
      </c>
      <c r="F218" s="60">
        <f>D218*C218</f>
        <v/>
      </c>
    </row>
    <row r="219">
      <c r="A219" s="60" t="n">
        <v>215</v>
      </c>
      <c r="B219" s="60">
        <f>B218*(1+Simulator!$B$8)^(1/12)</f>
        <v/>
      </c>
      <c r="C219" s="60">
        <f>IF(AND(A219&gt;1,MOD(A219-1,12)=0),C218*(1+Simulator!$B$7),C218)</f>
        <v/>
      </c>
      <c r="D219" s="60">
        <f>D218+(Simulator!$B$5+D218*C219/12)/B219</f>
        <v/>
      </c>
      <c r="E219" s="60">
        <f>D219*B219</f>
        <v/>
      </c>
      <c r="F219" s="60">
        <f>D219*C219</f>
        <v/>
      </c>
    </row>
    <row r="220">
      <c r="A220" s="60" t="n">
        <v>216</v>
      </c>
      <c r="B220" s="60">
        <f>B219*(1+Simulator!$B$8)^(1/12)</f>
        <v/>
      </c>
      <c r="C220" s="60">
        <f>IF(AND(A220&gt;1,MOD(A220-1,12)=0),C219*(1+Simulator!$B$7),C219)</f>
        <v/>
      </c>
      <c r="D220" s="60">
        <f>D219+(Simulator!$B$5+D219*C220/12)/B220</f>
        <v/>
      </c>
      <c r="E220" s="60">
        <f>D220*B220</f>
        <v/>
      </c>
      <c r="F220" s="60">
        <f>D220*C220</f>
        <v/>
      </c>
    </row>
    <row r="221">
      <c r="A221" s="60" t="n">
        <v>217</v>
      </c>
      <c r="B221" s="60">
        <f>B220*(1+Simulator!$B$8)^(1/12)</f>
        <v/>
      </c>
      <c r="C221" s="60">
        <f>IF(AND(A221&gt;1,MOD(A221-1,12)=0),C220*(1+Simulator!$B$7),C220)</f>
        <v/>
      </c>
      <c r="D221" s="60">
        <f>D220+(Simulator!$B$5+D220*C221/12)/B221</f>
        <v/>
      </c>
      <c r="E221" s="60">
        <f>D221*B221</f>
        <v/>
      </c>
      <c r="F221" s="60">
        <f>D221*C221</f>
        <v/>
      </c>
    </row>
    <row r="222">
      <c r="A222" s="60" t="n">
        <v>218</v>
      </c>
      <c r="B222" s="60">
        <f>B221*(1+Simulator!$B$8)^(1/12)</f>
        <v/>
      </c>
      <c r="C222" s="60">
        <f>IF(AND(A222&gt;1,MOD(A222-1,12)=0),C221*(1+Simulator!$B$7),C221)</f>
        <v/>
      </c>
      <c r="D222" s="60">
        <f>D221+(Simulator!$B$5+D221*C222/12)/B222</f>
        <v/>
      </c>
      <c r="E222" s="60">
        <f>D222*B222</f>
        <v/>
      </c>
      <c r="F222" s="60">
        <f>D222*C222</f>
        <v/>
      </c>
    </row>
    <row r="223">
      <c r="A223" s="60" t="n">
        <v>219</v>
      </c>
      <c r="B223" s="60">
        <f>B222*(1+Simulator!$B$8)^(1/12)</f>
        <v/>
      </c>
      <c r="C223" s="60">
        <f>IF(AND(A223&gt;1,MOD(A223-1,12)=0),C222*(1+Simulator!$B$7),C222)</f>
        <v/>
      </c>
      <c r="D223" s="60">
        <f>D222+(Simulator!$B$5+D222*C223/12)/B223</f>
        <v/>
      </c>
      <c r="E223" s="60">
        <f>D223*B223</f>
        <v/>
      </c>
      <c r="F223" s="60">
        <f>D223*C223</f>
        <v/>
      </c>
    </row>
    <row r="224">
      <c r="A224" s="60" t="n">
        <v>220</v>
      </c>
      <c r="B224" s="60">
        <f>B223*(1+Simulator!$B$8)^(1/12)</f>
        <v/>
      </c>
      <c r="C224" s="60">
        <f>IF(AND(A224&gt;1,MOD(A224-1,12)=0),C223*(1+Simulator!$B$7),C223)</f>
        <v/>
      </c>
      <c r="D224" s="60">
        <f>D223+(Simulator!$B$5+D223*C224/12)/B224</f>
        <v/>
      </c>
      <c r="E224" s="60">
        <f>D224*B224</f>
        <v/>
      </c>
      <c r="F224" s="60">
        <f>D224*C224</f>
        <v/>
      </c>
    </row>
    <row r="225">
      <c r="A225" s="60" t="n">
        <v>221</v>
      </c>
      <c r="B225" s="60">
        <f>B224*(1+Simulator!$B$8)^(1/12)</f>
        <v/>
      </c>
      <c r="C225" s="60">
        <f>IF(AND(A225&gt;1,MOD(A225-1,12)=0),C224*(1+Simulator!$B$7),C224)</f>
        <v/>
      </c>
      <c r="D225" s="60">
        <f>D224+(Simulator!$B$5+D224*C225/12)/B225</f>
        <v/>
      </c>
      <c r="E225" s="60">
        <f>D225*B225</f>
        <v/>
      </c>
      <c r="F225" s="60">
        <f>D225*C225</f>
        <v/>
      </c>
    </row>
    <row r="226">
      <c r="A226" s="60" t="n">
        <v>222</v>
      </c>
      <c r="B226" s="60">
        <f>B225*(1+Simulator!$B$8)^(1/12)</f>
        <v/>
      </c>
      <c r="C226" s="60">
        <f>IF(AND(A226&gt;1,MOD(A226-1,12)=0),C225*(1+Simulator!$B$7),C225)</f>
        <v/>
      </c>
      <c r="D226" s="60">
        <f>D225+(Simulator!$B$5+D225*C226/12)/B226</f>
        <v/>
      </c>
      <c r="E226" s="60">
        <f>D226*B226</f>
        <v/>
      </c>
      <c r="F226" s="60">
        <f>D226*C226</f>
        <v/>
      </c>
    </row>
    <row r="227">
      <c r="A227" s="60" t="n">
        <v>223</v>
      </c>
      <c r="B227" s="60">
        <f>B226*(1+Simulator!$B$8)^(1/12)</f>
        <v/>
      </c>
      <c r="C227" s="60">
        <f>IF(AND(A227&gt;1,MOD(A227-1,12)=0),C226*(1+Simulator!$B$7),C226)</f>
        <v/>
      </c>
      <c r="D227" s="60">
        <f>D226+(Simulator!$B$5+D226*C227/12)/B227</f>
        <v/>
      </c>
      <c r="E227" s="60">
        <f>D227*B227</f>
        <v/>
      </c>
      <c r="F227" s="60">
        <f>D227*C227</f>
        <v/>
      </c>
    </row>
    <row r="228">
      <c r="A228" s="60" t="n">
        <v>224</v>
      </c>
      <c r="B228" s="60">
        <f>B227*(1+Simulator!$B$8)^(1/12)</f>
        <v/>
      </c>
      <c r="C228" s="60">
        <f>IF(AND(A228&gt;1,MOD(A228-1,12)=0),C227*(1+Simulator!$B$7),C227)</f>
        <v/>
      </c>
      <c r="D228" s="60">
        <f>D227+(Simulator!$B$5+D227*C228/12)/B228</f>
        <v/>
      </c>
      <c r="E228" s="60">
        <f>D228*B228</f>
        <v/>
      </c>
      <c r="F228" s="60">
        <f>D228*C228</f>
        <v/>
      </c>
    </row>
    <row r="229">
      <c r="A229" s="60" t="n">
        <v>225</v>
      </c>
      <c r="B229" s="60">
        <f>B228*(1+Simulator!$B$8)^(1/12)</f>
        <v/>
      </c>
      <c r="C229" s="60">
        <f>IF(AND(A229&gt;1,MOD(A229-1,12)=0),C228*(1+Simulator!$B$7),C228)</f>
        <v/>
      </c>
      <c r="D229" s="60">
        <f>D228+(Simulator!$B$5+D228*C229/12)/B229</f>
        <v/>
      </c>
      <c r="E229" s="60">
        <f>D229*B229</f>
        <v/>
      </c>
      <c r="F229" s="60">
        <f>D229*C229</f>
        <v/>
      </c>
    </row>
    <row r="230">
      <c r="A230" s="60" t="n">
        <v>226</v>
      </c>
      <c r="B230" s="60">
        <f>B229*(1+Simulator!$B$8)^(1/12)</f>
        <v/>
      </c>
      <c r="C230" s="60">
        <f>IF(AND(A230&gt;1,MOD(A230-1,12)=0),C229*(1+Simulator!$B$7),C229)</f>
        <v/>
      </c>
      <c r="D230" s="60">
        <f>D229+(Simulator!$B$5+D229*C230/12)/B230</f>
        <v/>
      </c>
      <c r="E230" s="60">
        <f>D230*B230</f>
        <v/>
      </c>
      <c r="F230" s="60">
        <f>D230*C230</f>
        <v/>
      </c>
    </row>
    <row r="231">
      <c r="A231" s="60" t="n">
        <v>227</v>
      </c>
      <c r="B231" s="60">
        <f>B230*(1+Simulator!$B$8)^(1/12)</f>
        <v/>
      </c>
      <c r="C231" s="60">
        <f>IF(AND(A231&gt;1,MOD(A231-1,12)=0),C230*(1+Simulator!$B$7),C230)</f>
        <v/>
      </c>
      <c r="D231" s="60">
        <f>D230+(Simulator!$B$5+D230*C231/12)/B231</f>
        <v/>
      </c>
      <c r="E231" s="60">
        <f>D231*B231</f>
        <v/>
      </c>
      <c r="F231" s="60">
        <f>D231*C231</f>
        <v/>
      </c>
    </row>
    <row r="232">
      <c r="A232" s="60" t="n">
        <v>228</v>
      </c>
      <c r="B232" s="60">
        <f>B231*(1+Simulator!$B$8)^(1/12)</f>
        <v/>
      </c>
      <c r="C232" s="60">
        <f>IF(AND(A232&gt;1,MOD(A232-1,12)=0),C231*(1+Simulator!$B$7),C231)</f>
        <v/>
      </c>
      <c r="D232" s="60">
        <f>D231+(Simulator!$B$5+D231*C232/12)/B232</f>
        <v/>
      </c>
      <c r="E232" s="60">
        <f>D232*B232</f>
        <v/>
      </c>
      <c r="F232" s="60">
        <f>D232*C232</f>
        <v/>
      </c>
    </row>
    <row r="233">
      <c r="A233" s="60" t="n">
        <v>229</v>
      </c>
      <c r="B233" s="60">
        <f>B232*(1+Simulator!$B$8)^(1/12)</f>
        <v/>
      </c>
      <c r="C233" s="60">
        <f>IF(AND(A233&gt;1,MOD(A233-1,12)=0),C232*(1+Simulator!$B$7),C232)</f>
        <v/>
      </c>
      <c r="D233" s="60">
        <f>D232+(Simulator!$B$5+D232*C233/12)/B233</f>
        <v/>
      </c>
      <c r="E233" s="60">
        <f>D233*B233</f>
        <v/>
      </c>
      <c r="F233" s="60">
        <f>D233*C233</f>
        <v/>
      </c>
    </row>
    <row r="234">
      <c r="A234" s="60" t="n">
        <v>230</v>
      </c>
      <c r="B234" s="60">
        <f>B233*(1+Simulator!$B$8)^(1/12)</f>
        <v/>
      </c>
      <c r="C234" s="60">
        <f>IF(AND(A234&gt;1,MOD(A234-1,12)=0),C233*(1+Simulator!$B$7),C233)</f>
        <v/>
      </c>
      <c r="D234" s="60">
        <f>D233+(Simulator!$B$5+D233*C234/12)/B234</f>
        <v/>
      </c>
      <c r="E234" s="60">
        <f>D234*B234</f>
        <v/>
      </c>
      <c r="F234" s="60">
        <f>D234*C234</f>
        <v/>
      </c>
    </row>
    <row r="235">
      <c r="A235" s="60" t="n">
        <v>231</v>
      </c>
      <c r="B235" s="60">
        <f>B234*(1+Simulator!$B$8)^(1/12)</f>
        <v/>
      </c>
      <c r="C235" s="60">
        <f>IF(AND(A235&gt;1,MOD(A235-1,12)=0),C234*(1+Simulator!$B$7),C234)</f>
        <v/>
      </c>
      <c r="D235" s="60">
        <f>D234+(Simulator!$B$5+D234*C235/12)/B235</f>
        <v/>
      </c>
      <c r="E235" s="60">
        <f>D235*B235</f>
        <v/>
      </c>
      <c r="F235" s="60">
        <f>D235*C235</f>
        <v/>
      </c>
    </row>
    <row r="236">
      <c r="A236" s="60" t="n">
        <v>232</v>
      </c>
      <c r="B236" s="60">
        <f>B235*(1+Simulator!$B$8)^(1/12)</f>
        <v/>
      </c>
      <c r="C236" s="60">
        <f>IF(AND(A236&gt;1,MOD(A236-1,12)=0),C235*(1+Simulator!$B$7),C235)</f>
        <v/>
      </c>
      <c r="D236" s="60">
        <f>D235+(Simulator!$B$5+D235*C236/12)/B236</f>
        <v/>
      </c>
      <c r="E236" s="60">
        <f>D236*B236</f>
        <v/>
      </c>
      <c r="F236" s="60">
        <f>D236*C236</f>
        <v/>
      </c>
    </row>
    <row r="237">
      <c r="A237" s="60" t="n">
        <v>233</v>
      </c>
      <c r="B237" s="60">
        <f>B236*(1+Simulator!$B$8)^(1/12)</f>
        <v/>
      </c>
      <c r="C237" s="60">
        <f>IF(AND(A237&gt;1,MOD(A237-1,12)=0),C236*(1+Simulator!$B$7),C236)</f>
        <v/>
      </c>
      <c r="D237" s="60">
        <f>D236+(Simulator!$B$5+D236*C237/12)/B237</f>
        <v/>
      </c>
      <c r="E237" s="60">
        <f>D237*B237</f>
        <v/>
      </c>
      <c r="F237" s="60">
        <f>D237*C237</f>
        <v/>
      </c>
    </row>
    <row r="238">
      <c r="A238" s="60" t="n">
        <v>234</v>
      </c>
      <c r="B238" s="60">
        <f>B237*(1+Simulator!$B$8)^(1/12)</f>
        <v/>
      </c>
      <c r="C238" s="60">
        <f>IF(AND(A238&gt;1,MOD(A238-1,12)=0),C237*(1+Simulator!$B$7),C237)</f>
        <v/>
      </c>
      <c r="D238" s="60">
        <f>D237+(Simulator!$B$5+D237*C238/12)/B238</f>
        <v/>
      </c>
      <c r="E238" s="60">
        <f>D238*B238</f>
        <v/>
      </c>
      <c r="F238" s="60">
        <f>D238*C238</f>
        <v/>
      </c>
    </row>
    <row r="239">
      <c r="A239" s="60" t="n">
        <v>235</v>
      </c>
      <c r="B239" s="60">
        <f>B238*(1+Simulator!$B$8)^(1/12)</f>
        <v/>
      </c>
      <c r="C239" s="60">
        <f>IF(AND(A239&gt;1,MOD(A239-1,12)=0),C238*(1+Simulator!$B$7),C238)</f>
        <v/>
      </c>
      <c r="D239" s="60">
        <f>D238+(Simulator!$B$5+D238*C239/12)/B239</f>
        <v/>
      </c>
      <c r="E239" s="60">
        <f>D239*B239</f>
        <v/>
      </c>
      <c r="F239" s="60">
        <f>D239*C239</f>
        <v/>
      </c>
    </row>
    <row r="240">
      <c r="A240" s="60" t="n">
        <v>236</v>
      </c>
      <c r="B240" s="60">
        <f>B239*(1+Simulator!$B$8)^(1/12)</f>
        <v/>
      </c>
      <c r="C240" s="60">
        <f>IF(AND(A240&gt;1,MOD(A240-1,12)=0),C239*(1+Simulator!$B$7),C239)</f>
        <v/>
      </c>
      <c r="D240" s="60">
        <f>D239+(Simulator!$B$5+D239*C240/12)/B240</f>
        <v/>
      </c>
      <c r="E240" s="60">
        <f>D240*B240</f>
        <v/>
      </c>
      <c r="F240" s="60">
        <f>D240*C240</f>
        <v/>
      </c>
    </row>
    <row r="241">
      <c r="A241" s="60" t="n">
        <v>237</v>
      </c>
      <c r="B241" s="60">
        <f>B240*(1+Simulator!$B$8)^(1/12)</f>
        <v/>
      </c>
      <c r="C241" s="60">
        <f>IF(AND(A241&gt;1,MOD(A241-1,12)=0),C240*(1+Simulator!$B$7),C240)</f>
        <v/>
      </c>
      <c r="D241" s="60">
        <f>D240+(Simulator!$B$5+D240*C241/12)/B241</f>
        <v/>
      </c>
      <c r="E241" s="60">
        <f>D241*B241</f>
        <v/>
      </c>
      <c r="F241" s="60">
        <f>D241*C241</f>
        <v/>
      </c>
    </row>
    <row r="242">
      <c r="A242" s="60" t="n">
        <v>238</v>
      </c>
      <c r="B242" s="60">
        <f>B241*(1+Simulator!$B$8)^(1/12)</f>
        <v/>
      </c>
      <c r="C242" s="60">
        <f>IF(AND(A242&gt;1,MOD(A242-1,12)=0),C241*(1+Simulator!$B$7),C241)</f>
        <v/>
      </c>
      <c r="D242" s="60">
        <f>D241+(Simulator!$B$5+D241*C242/12)/B242</f>
        <v/>
      </c>
      <c r="E242" s="60">
        <f>D242*B242</f>
        <v/>
      </c>
      <c r="F242" s="60">
        <f>D242*C242</f>
        <v/>
      </c>
    </row>
    <row r="243">
      <c r="A243" s="60" t="n">
        <v>239</v>
      </c>
      <c r="B243" s="60">
        <f>B242*(1+Simulator!$B$8)^(1/12)</f>
        <v/>
      </c>
      <c r="C243" s="60">
        <f>IF(AND(A243&gt;1,MOD(A243-1,12)=0),C242*(1+Simulator!$B$7),C242)</f>
        <v/>
      </c>
      <c r="D243" s="60">
        <f>D242+(Simulator!$B$5+D242*C243/12)/B243</f>
        <v/>
      </c>
      <c r="E243" s="60">
        <f>D243*B243</f>
        <v/>
      </c>
      <c r="F243" s="60">
        <f>D243*C243</f>
        <v/>
      </c>
    </row>
    <row r="244">
      <c r="A244" s="60" t="n">
        <v>240</v>
      </c>
      <c r="B244" s="60">
        <f>B243*(1+Simulator!$B$8)^(1/12)</f>
        <v/>
      </c>
      <c r="C244" s="60">
        <f>IF(AND(A244&gt;1,MOD(A244-1,12)=0),C243*(1+Simulator!$B$7),C243)</f>
        <v/>
      </c>
      <c r="D244" s="60">
        <f>D243+(Simulator!$B$5+D243*C244/12)/B244</f>
        <v/>
      </c>
      <c r="E244" s="60">
        <f>D244*B244</f>
        <v/>
      </c>
      <c r="F244" s="60">
        <f>D244*C244</f>
        <v/>
      </c>
    </row>
    <row r="245">
      <c r="A245" s="60" t="n">
        <v>241</v>
      </c>
      <c r="B245" s="60">
        <f>B244*(1+Simulator!$B$8)^(1/12)</f>
        <v/>
      </c>
      <c r="C245" s="60">
        <f>IF(AND(A245&gt;1,MOD(A245-1,12)=0),C244*(1+Simulator!$B$7),C244)</f>
        <v/>
      </c>
      <c r="D245" s="60">
        <f>D244+(Simulator!$B$5+D244*C245/12)/B245</f>
        <v/>
      </c>
      <c r="E245" s="60">
        <f>D245*B245</f>
        <v/>
      </c>
      <c r="F245" s="60">
        <f>D245*C245</f>
        <v/>
      </c>
    </row>
    <row r="246">
      <c r="A246" s="60" t="n">
        <v>242</v>
      </c>
      <c r="B246" s="60">
        <f>B245*(1+Simulator!$B$8)^(1/12)</f>
        <v/>
      </c>
      <c r="C246" s="60">
        <f>IF(AND(A246&gt;1,MOD(A246-1,12)=0),C245*(1+Simulator!$B$7),C245)</f>
        <v/>
      </c>
      <c r="D246" s="60">
        <f>D245+(Simulator!$B$5+D245*C246/12)/B246</f>
        <v/>
      </c>
      <c r="E246" s="60">
        <f>D246*B246</f>
        <v/>
      </c>
      <c r="F246" s="60">
        <f>D246*C246</f>
        <v/>
      </c>
    </row>
    <row r="247">
      <c r="A247" s="60" t="n">
        <v>243</v>
      </c>
      <c r="B247" s="60">
        <f>B246*(1+Simulator!$B$8)^(1/12)</f>
        <v/>
      </c>
      <c r="C247" s="60">
        <f>IF(AND(A247&gt;1,MOD(A247-1,12)=0),C246*(1+Simulator!$B$7),C246)</f>
        <v/>
      </c>
      <c r="D247" s="60">
        <f>D246+(Simulator!$B$5+D246*C247/12)/B247</f>
        <v/>
      </c>
      <c r="E247" s="60">
        <f>D247*B247</f>
        <v/>
      </c>
      <c r="F247" s="60">
        <f>D247*C247</f>
        <v/>
      </c>
    </row>
    <row r="248">
      <c r="A248" s="60" t="n">
        <v>244</v>
      </c>
      <c r="B248" s="60">
        <f>B247*(1+Simulator!$B$8)^(1/12)</f>
        <v/>
      </c>
      <c r="C248" s="60">
        <f>IF(AND(A248&gt;1,MOD(A248-1,12)=0),C247*(1+Simulator!$B$7),C247)</f>
        <v/>
      </c>
      <c r="D248" s="60">
        <f>D247+(Simulator!$B$5+D247*C248/12)/B248</f>
        <v/>
      </c>
      <c r="E248" s="60">
        <f>D248*B248</f>
        <v/>
      </c>
      <c r="F248" s="60">
        <f>D248*C248</f>
        <v/>
      </c>
    </row>
    <row r="249">
      <c r="A249" s="60" t="n">
        <v>245</v>
      </c>
      <c r="B249" s="60">
        <f>B248*(1+Simulator!$B$8)^(1/12)</f>
        <v/>
      </c>
      <c r="C249" s="60">
        <f>IF(AND(A249&gt;1,MOD(A249-1,12)=0),C248*(1+Simulator!$B$7),C248)</f>
        <v/>
      </c>
      <c r="D249" s="60">
        <f>D248+(Simulator!$B$5+D248*C249/12)/B249</f>
        <v/>
      </c>
      <c r="E249" s="60">
        <f>D249*B249</f>
        <v/>
      </c>
      <c r="F249" s="60">
        <f>D249*C249</f>
        <v/>
      </c>
    </row>
    <row r="250">
      <c r="A250" s="60" t="n">
        <v>246</v>
      </c>
      <c r="B250" s="60">
        <f>B249*(1+Simulator!$B$8)^(1/12)</f>
        <v/>
      </c>
      <c r="C250" s="60">
        <f>IF(AND(A250&gt;1,MOD(A250-1,12)=0),C249*(1+Simulator!$B$7),C249)</f>
        <v/>
      </c>
      <c r="D250" s="60">
        <f>D249+(Simulator!$B$5+D249*C250/12)/B250</f>
        <v/>
      </c>
      <c r="E250" s="60">
        <f>D250*B250</f>
        <v/>
      </c>
      <c r="F250" s="60">
        <f>D250*C250</f>
        <v/>
      </c>
    </row>
    <row r="251">
      <c r="A251" s="60" t="n">
        <v>247</v>
      </c>
      <c r="B251" s="60">
        <f>B250*(1+Simulator!$B$8)^(1/12)</f>
        <v/>
      </c>
      <c r="C251" s="60">
        <f>IF(AND(A251&gt;1,MOD(A251-1,12)=0),C250*(1+Simulator!$B$7),C250)</f>
        <v/>
      </c>
      <c r="D251" s="60">
        <f>D250+(Simulator!$B$5+D250*C251/12)/B251</f>
        <v/>
      </c>
      <c r="E251" s="60">
        <f>D251*B251</f>
        <v/>
      </c>
      <c r="F251" s="60">
        <f>D251*C251</f>
        <v/>
      </c>
    </row>
    <row r="252">
      <c r="A252" s="60" t="n">
        <v>248</v>
      </c>
      <c r="B252" s="60">
        <f>B251*(1+Simulator!$B$8)^(1/12)</f>
        <v/>
      </c>
      <c r="C252" s="60">
        <f>IF(AND(A252&gt;1,MOD(A252-1,12)=0),C251*(1+Simulator!$B$7),C251)</f>
        <v/>
      </c>
      <c r="D252" s="60">
        <f>D251+(Simulator!$B$5+D251*C252/12)/B252</f>
        <v/>
      </c>
      <c r="E252" s="60">
        <f>D252*B252</f>
        <v/>
      </c>
      <c r="F252" s="60">
        <f>D252*C252</f>
        <v/>
      </c>
    </row>
    <row r="253">
      <c r="A253" s="60" t="n">
        <v>249</v>
      </c>
      <c r="B253" s="60">
        <f>B252*(1+Simulator!$B$8)^(1/12)</f>
        <v/>
      </c>
      <c r="C253" s="60">
        <f>IF(AND(A253&gt;1,MOD(A253-1,12)=0),C252*(1+Simulator!$B$7),C252)</f>
        <v/>
      </c>
      <c r="D253" s="60">
        <f>D252+(Simulator!$B$5+D252*C253/12)/B253</f>
        <v/>
      </c>
      <c r="E253" s="60">
        <f>D253*B253</f>
        <v/>
      </c>
      <c r="F253" s="60">
        <f>D253*C253</f>
        <v/>
      </c>
    </row>
    <row r="254">
      <c r="A254" s="60" t="n">
        <v>250</v>
      </c>
      <c r="B254" s="60">
        <f>B253*(1+Simulator!$B$8)^(1/12)</f>
        <v/>
      </c>
      <c r="C254" s="60">
        <f>IF(AND(A254&gt;1,MOD(A254-1,12)=0),C253*(1+Simulator!$B$7),C253)</f>
        <v/>
      </c>
      <c r="D254" s="60">
        <f>D253+(Simulator!$B$5+D253*C254/12)/B254</f>
        <v/>
      </c>
      <c r="E254" s="60">
        <f>D254*B254</f>
        <v/>
      </c>
      <c r="F254" s="60">
        <f>D254*C254</f>
        <v/>
      </c>
    </row>
    <row r="255">
      <c r="A255" s="60" t="n">
        <v>251</v>
      </c>
      <c r="B255" s="60">
        <f>B254*(1+Simulator!$B$8)^(1/12)</f>
        <v/>
      </c>
      <c r="C255" s="60">
        <f>IF(AND(A255&gt;1,MOD(A255-1,12)=0),C254*(1+Simulator!$B$7),C254)</f>
        <v/>
      </c>
      <c r="D255" s="60">
        <f>D254+(Simulator!$B$5+D254*C255/12)/B255</f>
        <v/>
      </c>
      <c r="E255" s="60">
        <f>D255*B255</f>
        <v/>
      </c>
      <c r="F255" s="60">
        <f>D255*C255</f>
        <v/>
      </c>
    </row>
    <row r="256">
      <c r="A256" s="60" t="n">
        <v>252</v>
      </c>
      <c r="B256" s="60">
        <f>B255*(1+Simulator!$B$8)^(1/12)</f>
        <v/>
      </c>
      <c r="C256" s="60">
        <f>IF(AND(A256&gt;1,MOD(A256-1,12)=0),C255*(1+Simulator!$B$7),C255)</f>
        <v/>
      </c>
      <c r="D256" s="60">
        <f>D255+(Simulator!$B$5+D255*C256/12)/B256</f>
        <v/>
      </c>
      <c r="E256" s="60">
        <f>D256*B256</f>
        <v/>
      </c>
      <c r="F256" s="60">
        <f>D256*C256</f>
        <v/>
      </c>
    </row>
    <row r="257">
      <c r="A257" s="60" t="n">
        <v>253</v>
      </c>
      <c r="B257" s="60">
        <f>B256*(1+Simulator!$B$8)^(1/12)</f>
        <v/>
      </c>
      <c r="C257" s="60">
        <f>IF(AND(A257&gt;1,MOD(A257-1,12)=0),C256*(1+Simulator!$B$7),C256)</f>
        <v/>
      </c>
      <c r="D257" s="60">
        <f>D256+(Simulator!$B$5+D256*C257/12)/B257</f>
        <v/>
      </c>
      <c r="E257" s="60">
        <f>D257*B257</f>
        <v/>
      </c>
      <c r="F257" s="60">
        <f>D257*C257</f>
        <v/>
      </c>
    </row>
    <row r="258">
      <c r="A258" s="60" t="n">
        <v>254</v>
      </c>
      <c r="B258" s="60">
        <f>B257*(1+Simulator!$B$8)^(1/12)</f>
        <v/>
      </c>
      <c r="C258" s="60">
        <f>IF(AND(A258&gt;1,MOD(A258-1,12)=0),C257*(1+Simulator!$B$7),C257)</f>
        <v/>
      </c>
      <c r="D258" s="60">
        <f>D257+(Simulator!$B$5+D257*C258/12)/B258</f>
        <v/>
      </c>
      <c r="E258" s="60">
        <f>D258*B258</f>
        <v/>
      </c>
      <c r="F258" s="60">
        <f>D258*C258</f>
        <v/>
      </c>
    </row>
    <row r="259">
      <c r="A259" s="60" t="n">
        <v>255</v>
      </c>
      <c r="B259" s="60">
        <f>B258*(1+Simulator!$B$8)^(1/12)</f>
        <v/>
      </c>
      <c r="C259" s="60">
        <f>IF(AND(A259&gt;1,MOD(A259-1,12)=0),C258*(1+Simulator!$B$7),C258)</f>
        <v/>
      </c>
      <c r="D259" s="60">
        <f>D258+(Simulator!$B$5+D258*C259/12)/B259</f>
        <v/>
      </c>
      <c r="E259" s="60">
        <f>D259*B259</f>
        <v/>
      </c>
      <c r="F259" s="60">
        <f>D259*C259</f>
        <v/>
      </c>
    </row>
    <row r="260">
      <c r="A260" s="60" t="n">
        <v>256</v>
      </c>
      <c r="B260" s="60">
        <f>B259*(1+Simulator!$B$8)^(1/12)</f>
        <v/>
      </c>
      <c r="C260" s="60">
        <f>IF(AND(A260&gt;1,MOD(A260-1,12)=0),C259*(1+Simulator!$B$7),C259)</f>
        <v/>
      </c>
      <c r="D260" s="60">
        <f>D259+(Simulator!$B$5+D259*C260/12)/B260</f>
        <v/>
      </c>
      <c r="E260" s="60">
        <f>D260*B260</f>
        <v/>
      </c>
      <c r="F260" s="60">
        <f>D260*C260</f>
        <v/>
      </c>
    </row>
    <row r="261">
      <c r="A261" s="60" t="n">
        <v>257</v>
      </c>
      <c r="B261" s="60">
        <f>B260*(1+Simulator!$B$8)^(1/12)</f>
        <v/>
      </c>
      <c r="C261" s="60">
        <f>IF(AND(A261&gt;1,MOD(A261-1,12)=0),C260*(1+Simulator!$B$7),C260)</f>
        <v/>
      </c>
      <c r="D261" s="60">
        <f>D260+(Simulator!$B$5+D260*C261/12)/B261</f>
        <v/>
      </c>
      <c r="E261" s="60">
        <f>D261*B261</f>
        <v/>
      </c>
      <c r="F261" s="60">
        <f>D261*C261</f>
        <v/>
      </c>
    </row>
    <row r="262">
      <c r="A262" s="60" t="n">
        <v>258</v>
      </c>
      <c r="B262" s="60">
        <f>B261*(1+Simulator!$B$8)^(1/12)</f>
        <v/>
      </c>
      <c r="C262" s="60">
        <f>IF(AND(A262&gt;1,MOD(A262-1,12)=0),C261*(1+Simulator!$B$7),C261)</f>
        <v/>
      </c>
      <c r="D262" s="60">
        <f>D261+(Simulator!$B$5+D261*C262/12)/B262</f>
        <v/>
      </c>
      <c r="E262" s="60">
        <f>D262*B262</f>
        <v/>
      </c>
      <c r="F262" s="60">
        <f>D262*C262</f>
        <v/>
      </c>
    </row>
    <row r="263">
      <c r="A263" s="60" t="n">
        <v>259</v>
      </c>
      <c r="B263" s="60">
        <f>B262*(1+Simulator!$B$8)^(1/12)</f>
        <v/>
      </c>
      <c r="C263" s="60">
        <f>IF(AND(A263&gt;1,MOD(A263-1,12)=0),C262*(1+Simulator!$B$7),C262)</f>
        <v/>
      </c>
      <c r="D263" s="60">
        <f>D262+(Simulator!$B$5+D262*C263/12)/B263</f>
        <v/>
      </c>
      <c r="E263" s="60">
        <f>D263*B263</f>
        <v/>
      </c>
      <c r="F263" s="60">
        <f>D263*C263</f>
        <v/>
      </c>
    </row>
    <row r="264">
      <c r="A264" s="60" t="n">
        <v>260</v>
      </c>
      <c r="B264" s="60">
        <f>B263*(1+Simulator!$B$8)^(1/12)</f>
        <v/>
      </c>
      <c r="C264" s="60">
        <f>IF(AND(A264&gt;1,MOD(A264-1,12)=0),C263*(1+Simulator!$B$7),C263)</f>
        <v/>
      </c>
      <c r="D264" s="60">
        <f>D263+(Simulator!$B$5+D263*C264/12)/B264</f>
        <v/>
      </c>
      <c r="E264" s="60">
        <f>D264*B264</f>
        <v/>
      </c>
      <c r="F264" s="60">
        <f>D264*C264</f>
        <v/>
      </c>
    </row>
    <row r="265">
      <c r="A265" s="60" t="n">
        <v>261</v>
      </c>
      <c r="B265" s="60">
        <f>B264*(1+Simulator!$B$8)^(1/12)</f>
        <v/>
      </c>
      <c r="C265" s="60">
        <f>IF(AND(A265&gt;1,MOD(A265-1,12)=0),C264*(1+Simulator!$B$7),C264)</f>
        <v/>
      </c>
      <c r="D265" s="60">
        <f>D264+(Simulator!$B$5+D264*C265/12)/B265</f>
        <v/>
      </c>
      <c r="E265" s="60">
        <f>D265*B265</f>
        <v/>
      </c>
      <c r="F265" s="60">
        <f>D265*C265</f>
        <v/>
      </c>
    </row>
    <row r="266">
      <c r="A266" s="60" t="n">
        <v>262</v>
      </c>
      <c r="B266" s="60">
        <f>B265*(1+Simulator!$B$8)^(1/12)</f>
        <v/>
      </c>
      <c r="C266" s="60">
        <f>IF(AND(A266&gt;1,MOD(A266-1,12)=0),C265*(1+Simulator!$B$7),C265)</f>
        <v/>
      </c>
      <c r="D266" s="60">
        <f>D265+(Simulator!$B$5+D265*C266/12)/B266</f>
        <v/>
      </c>
      <c r="E266" s="60">
        <f>D266*B266</f>
        <v/>
      </c>
      <c r="F266" s="60">
        <f>D266*C266</f>
        <v/>
      </c>
    </row>
    <row r="267">
      <c r="A267" s="60" t="n">
        <v>263</v>
      </c>
      <c r="B267" s="60">
        <f>B266*(1+Simulator!$B$8)^(1/12)</f>
        <v/>
      </c>
      <c r="C267" s="60">
        <f>IF(AND(A267&gt;1,MOD(A267-1,12)=0),C266*(1+Simulator!$B$7),C266)</f>
        <v/>
      </c>
      <c r="D267" s="60">
        <f>D266+(Simulator!$B$5+D266*C267/12)/B267</f>
        <v/>
      </c>
      <c r="E267" s="60">
        <f>D267*B267</f>
        <v/>
      </c>
      <c r="F267" s="60">
        <f>D267*C267</f>
        <v/>
      </c>
    </row>
    <row r="268">
      <c r="A268" s="60" t="n">
        <v>264</v>
      </c>
      <c r="B268" s="60">
        <f>B267*(1+Simulator!$B$8)^(1/12)</f>
        <v/>
      </c>
      <c r="C268" s="60">
        <f>IF(AND(A268&gt;1,MOD(A268-1,12)=0),C267*(1+Simulator!$B$7),C267)</f>
        <v/>
      </c>
      <c r="D268" s="60">
        <f>D267+(Simulator!$B$5+D267*C268/12)/B268</f>
        <v/>
      </c>
      <c r="E268" s="60">
        <f>D268*B268</f>
        <v/>
      </c>
      <c r="F268" s="60">
        <f>D268*C268</f>
        <v/>
      </c>
    </row>
    <row r="269">
      <c r="A269" s="60" t="n">
        <v>265</v>
      </c>
      <c r="B269" s="60">
        <f>B268*(1+Simulator!$B$8)^(1/12)</f>
        <v/>
      </c>
      <c r="C269" s="60">
        <f>IF(AND(A269&gt;1,MOD(A269-1,12)=0),C268*(1+Simulator!$B$7),C268)</f>
        <v/>
      </c>
      <c r="D269" s="60">
        <f>D268+(Simulator!$B$5+D268*C269/12)/B269</f>
        <v/>
      </c>
      <c r="E269" s="60">
        <f>D269*B269</f>
        <v/>
      </c>
      <c r="F269" s="60">
        <f>D269*C269</f>
        <v/>
      </c>
    </row>
    <row r="270">
      <c r="A270" s="60" t="n">
        <v>266</v>
      </c>
      <c r="B270" s="60">
        <f>B269*(1+Simulator!$B$8)^(1/12)</f>
        <v/>
      </c>
      <c r="C270" s="60">
        <f>IF(AND(A270&gt;1,MOD(A270-1,12)=0),C269*(1+Simulator!$B$7),C269)</f>
        <v/>
      </c>
      <c r="D270" s="60">
        <f>D269+(Simulator!$B$5+D269*C270/12)/B270</f>
        <v/>
      </c>
      <c r="E270" s="60">
        <f>D270*B270</f>
        <v/>
      </c>
      <c r="F270" s="60">
        <f>D270*C270</f>
        <v/>
      </c>
    </row>
    <row r="271">
      <c r="A271" s="60" t="n">
        <v>267</v>
      </c>
      <c r="B271" s="60">
        <f>B270*(1+Simulator!$B$8)^(1/12)</f>
        <v/>
      </c>
      <c r="C271" s="60">
        <f>IF(AND(A271&gt;1,MOD(A271-1,12)=0),C270*(1+Simulator!$B$7),C270)</f>
        <v/>
      </c>
      <c r="D271" s="60">
        <f>D270+(Simulator!$B$5+D270*C271/12)/B271</f>
        <v/>
      </c>
      <c r="E271" s="60">
        <f>D271*B271</f>
        <v/>
      </c>
      <c r="F271" s="60">
        <f>D271*C271</f>
        <v/>
      </c>
    </row>
    <row r="272">
      <c r="A272" s="60" t="n">
        <v>268</v>
      </c>
      <c r="B272" s="60">
        <f>B271*(1+Simulator!$B$8)^(1/12)</f>
        <v/>
      </c>
      <c r="C272" s="60">
        <f>IF(AND(A272&gt;1,MOD(A272-1,12)=0),C271*(1+Simulator!$B$7),C271)</f>
        <v/>
      </c>
      <c r="D272" s="60">
        <f>D271+(Simulator!$B$5+D271*C272/12)/B272</f>
        <v/>
      </c>
      <c r="E272" s="60">
        <f>D272*B272</f>
        <v/>
      </c>
      <c r="F272" s="60">
        <f>D272*C272</f>
        <v/>
      </c>
    </row>
    <row r="273">
      <c r="A273" s="60" t="n">
        <v>269</v>
      </c>
      <c r="B273" s="60">
        <f>B272*(1+Simulator!$B$8)^(1/12)</f>
        <v/>
      </c>
      <c r="C273" s="60">
        <f>IF(AND(A273&gt;1,MOD(A273-1,12)=0),C272*(1+Simulator!$B$7),C272)</f>
        <v/>
      </c>
      <c r="D273" s="60">
        <f>D272+(Simulator!$B$5+D272*C273/12)/B273</f>
        <v/>
      </c>
      <c r="E273" s="60">
        <f>D273*B273</f>
        <v/>
      </c>
      <c r="F273" s="60">
        <f>D273*C273</f>
        <v/>
      </c>
    </row>
    <row r="274">
      <c r="A274" s="60" t="n">
        <v>270</v>
      </c>
      <c r="B274" s="60">
        <f>B273*(1+Simulator!$B$8)^(1/12)</f>
        <v/>
      </c>
      <c r="C274" s="60">
        <f>IF(AND(A274&gt;1,MOD(A274-1,12)=0),C273*(1+Simulator!$B$7),C273)</f>
        <v/>
      </c>
      <c r="D274" s="60">
        <f>D273+(Simulator!$B$5+D273*C274/12)/B274</f>
        <v/>
      </c>
      <c r="E274" s="60">
        <f>D274*B274</f>
        <v/>
      </c>
      <c r="F274" s="60">
        <f>D274*C274</f>
        <v/>
      </c>
    </row>
    <row r="275">
      <c r="A275" s="60" t="n">
        <v>271</v>
      </c>
      <c r="B275" s="60">
        <f>B274*(1+Simulator!$B$8)^(1/12)</f>
        <v/>
      </c>
      <c r="C275" s="60">
        <f>IF(AND(A275&gt;1,MOD(A275-1,12)=0),C274*(1+Simulator!$B$7),C274)</f>
        <v/>
      </c>
      <c r="D275" s="60">
        <f>D274+(Simulator!$B$5+D274*C275/12)/B275</f>
        <v/>
      </c>
      <c r="E275" s="60">
        <f>D275*B275</f>
        <v/>
      </c>
      <c r="F275" s="60">
        <f>D275*C275</f>
        <v/>
      </c>
    </row>
    <row r="276">
      <c r="A276" s="60" t="n">
        <v>272</v>
      </c>
      <c r="B276" s="60">
        <f>B275*(1+Simulator!$B$8)^(1/12)</f>
        <v/>
      </c>
      <c r="C276" s="60">
        <f>IF(AND(A276&gt;1,MOD(A276-1,12)=0),C275*(1+Simulator!$B$7),C275)</f>
        <v/>
      </c>
      <c r="D276" s="60">
        <f>D275+(Simulator!$B$5+D275*C276/12)/B276</f>
        <v/>
      </c>
      <c r="E276" s="60">
        <f>D276*B276</f>
        <v/>
      </c>
      <c r="F276" s="60">
        <f>D276*C276</f>
        <v/>
      </c>
    </row>
    <row r="277">
      <c r="A277" s="60" t="n">
        <v>273</v>
      </c>
      <c r="B277" s="60">
        <f>B276*(1+Simulator!$B$8)^(1/12)</f>
        <v/>
      </c>
      <c r="C277" s="60">
        <f>IF(AND(A277&gt;1,MOD(A277-1,12)=0),C276*(1+Simulator!$B$7),C276)</f>
        <v/>
      </c>
      <c r="D277" s="60">
        <f>D276+(Simulator!$B$5+D276*C277/12)/B277</f>
        <v/>
      </c>
      <c r="E277" s="60">
        <f>D277*B277</f>
        <v/>
      </c>
      <c r="F277" s="60">
        <f>D277*C277</f>
        <v/>
      </c>
    </row>
    <row r="278">
      <c r="A278" s="60" t="n">
        <v>274</v>
      </c>
      <c r="B278" s="60">
        <f>B277*(1+Simulator!$B$8)^(1/12)</f>
        <v/>
      </c>
      <c r="C278" s="60">
        <f>IF(AND(A278&gt;1,MOD(A278-1,12)=0),C277*(1+Simulator!$B$7),C277)</f>
        <v/>
      </c>
      <c r="D278" s="60">
        <f>D277+(Simulator!$B$5+D277*C278/12)/B278</f>
        <v/>
      </c>
      <c r="E278" s="60">
        <f>D278*B278</f>
        <v/>
      </c>
      <c r="F278" s="60">
        <f>D278*C278</f>
        <v/>
      </c>
    </row>
    <row r="279">
      <c r="A279" s="60" t="n">
        <v>275</v>
      </c>
      <c r="B279" s="60">
        <f>B278*(1+Simulator!$B$8)^(1/12)</f>
        <v/>
      </c>
      <c r="C279" s="60">
        <f>IF(AND(A279&gt;1,MOD(A279-1,12)=0),C278*(1+Simulator!$B$7),C278)</f>
        <v/>
      </c>
      <c r="D279" s="60">
        <f>D278+(Simulator!$B$5+D278*C279/12)/B279</f>
        <v/>
      </c>
      <c r="E279" s="60">
        <f>D279*B279</f>
        <v/>
      </c>
      <c r="F279" s="60">
        <f>D279*C279</f>
        <v/>
      </c>
    </row>
    <row r="280">
      <c r="A280" s="60" t="n">
        <v>276</v>
      </c>
      <c r="B280" s="60">
        <f>B279*(1+Simulator!$B$8)^(1/12)</f>
        <v/>
      </c>
      <c r="C280" s="60">
        <f>IF(AND(A280&gt;1,MOD(A280-1,12)=0),C279*(1+Simulator!$B$7),C279)</f>
        <v/>
      </c>
      <c r="D280" s="60">
        <f>D279+(Simulator!$B$5+D279*C280/12)/B280</f>
        <v/>
      </c>
      <c r="E280" s="60">
        <f>D280*B280</f>
        <v/>
      </c>
      <c r="F280" s="60">
        <f>D280*C280</f>
        <v/>
      </c>
    </row>
    <row r="281">
      <c r="A281" s="60" t="n">
        <v>277</v>
      </c>
      <c r="B281" s="60">
        <f>B280*(1+Simulator!$B$8)^(1/12)</f>
        <v/>
      </c>
      <c r="C281" s="60">
        <f>IF(AND(A281&gt;1,MOD(A281-1,12)=0),C280*(1+Simulator!$B$7),C280)</f>
        <v/>
      </c>
      <c r="D281" s="60">
        <f>D280+(Simulator!$B$5+D280*C281/12)/B281</f>
        <v/>
      </c>
      <c r="E281" s="60">
        <f>D281*B281</f>
        <v/>
      </c>
      <c r="F281" s="60">
        <f>D281*C281</f>
        <v/>
      </c>
    </row>
    <row r="282">
      <c r="A282" s="60" t="n">
        <v>278</v>
      </c>
      <c r="B282" s="60">
        <f>B281*(1+Simulator!$B$8)^(1/12)</f>
        <v/>
      </c>
      <c r="C282" s="60">
        <f>IF(AND(A282&gt;1,MOD(A282-1,12)=0),C281*(1+Simulator!$B$7),C281)</f>
        <v/>
      </c>
      <c r="D282" s="60">
        <f>D281+(Simulator!$B$5+D281*C282/12)/B282</f>
        <v/>
      </c>
      <c r="E282" s="60">
        <f>D282*B282</f>
        <v/>
      </c>
      <c r="F282" s="60">
        <f>D282*C282</f>
        <v/>
      </c>
    </row>
    <row r="283">
      <c r="A283" s="60" t="n">
        <v>279</v>
      </c>
      <c r="B283" s="60">
        <f>B282*(1+Simulator!$B$8)^(1/12)</f>
        <v/>
      </c>
      <c r="C283" s="60">
        <f>IF(AND(A283&gt;1,MOD(A283-1,12)=0),C282*(1+Simulator!$B$7),C282)</f>
        <v/>
      </c>
      <c r="D283" s="60">
        <f>D282+(Simulator!$B$5+D282*C283/12)/B283</f>
        <v/>
      </c>
      <c r="E283" s="60">
        <f>D283*B283</f>
        <v/>
      </c>
      <c r="F283" s="60">
        <f>D283*C283</f>
        <v/>
      </c>
    </row>
    <row r="284">
      <c r="A284" s="60" t="n">
        <v>280</v>
      </c>
      <c r="B284" s="60">
        <f>B283*(1+Simulator!$B$8)^(1/12)</f>
        <v/>
      </c>
      <c r="C284" s="60">
        <f>IF(AND(A284&gt;1,MOD(A284-1,12)=0),C283*(1+Simulator!$B$7),C283)</f>
        <v/>
      </c>
      <c r="D284" s="60">
        <f>D283+(Simulator!$B$5+D283*C284/12)/B284</f>
        <v/>
      </c>
      <c r="E284" s="60">
        <f>D284*B284</f>
        <v/>
      </c>
      <c r="F284" s="60">
        <f>D284*C284</f>
        <v/>
      </c>
    </row>
    <row r="285">
      <c r="A285" s="60" t="n">
        <v>281</v>
      </c>
      <c r="B285" s="60">
        <f>B284*(1+Simulator!$B$8)^(1/12)</f>
        <v/>
      </c>
      <c r="C285" s="60">
        <f>IF(AND(A285&gt;1,MOD(A285-1,12)=0),C284*(1+Simulator!$B$7),C284)</f>
        <v/>
      </c>
      <c r="D285" s="60">
        <f>D284+(Simulator!$B$5+D284*C285/12)/B285</f>
        <v/>
      </c>
      <c r="E285" s="60">
        <f>D285*B285</f>
        <v/>
      </c>
      <c r="F285" s="60">
        <f>D285*C285</f>
        <v/>
      </c>
    </row>
    <row r="286">
      <c r="A286" s="60" t="n">
        <v>282</v>
      </c>
      <c r="B286" s="60">
        <f>B285*(1+Simulator!$B$8)^(1/12)</f>
        <v/>
      </c>
      <c r="C286" s="60">
        <f>IF(AND(A286&gt;1,MOD(A286-1,12)=0),C285*(1+Simulator!$B$7),C285)</f>
        <v/>
      </c>
      <c r="D286" s="60">
        <f>D285+(Simulator!$B$5+D285*C286/12)/B286</f>
        <v/>
      </c>
      <c r="E286" s="60">
        <f>D286*B286</f>
        <v/>
      </c>
      <c r="F286" s="60">
        <f>D286*C286</f>
        <v/>
      </c>
    </row>
    <row r="287">
      <c r="A287" s="60" t="n">
        <v>283</v>
      </c>
      <c r="B287" s="60">
        <f>B286*(1+Simulator!$B$8)^(1/12)</f>
        <v/>
      </c>
      <c r="C287" s="60">
        <f>IF(AND(A287&gt;1,MOD(A287-1,12)=0),C286*(1+Simulator!$B$7),C286)</f>
        <v/>
      </c>
      <c r="D287" s="60">
        <f>D286+(Simulator!$B$5+D286*C287/12)/B287</f>
        <v/>
      </c>
      <c r="E287" s="60">
        <f>D287*B287</f>
        <v/>
      </c>
      <c r="F287" s="60">
        <f>D287*C287</f>
        <v/>
      </c>
    </row>
    <row r="288">
      <c r="A288" s="60" t="n">
        <v>284</v>
      </c>
      <c r="B288" s="60">
        <f>B287*(1+Simulator!$B$8)^(1/12)</f>
        <v/>
      </c>
      <c r="C288" s="60">
        <f>IF(AND(A288&gt;1,MOD(A288-1,12)=0),C287*(1+Simulator!$B$7),C287)</f>
        <v/>
      </c>
      <c r="D288" s="60">
        <f>D287+(Simulator!$B$5+D287*C288/12)/B288</f>
        <v/>
      </c>
      <c r="E288" s="60">
        <f>D288*B288</f>
        <v/>
      </c>
      <c r="F288" s="60">
        <f>D288*C288</f>
        <v/>
      </c>
    </row>
    <row r="289">
      <c r="A289" s="60" t="n">
        <v>285</v>
      </c>
      <c r="B289" s="60">
        <f>B288*(1+Simulator!$B$8)^(1/12)</f>
        <v/>
      </c>
      <c r="C289" s="60">
        <f>IF(AND(A289&gt;1,MOD(A289-1,12)=0),C288*(1+Simulator!$B$7),C288)</f>
        <v/>
      </c>
      <c r="D289" s="60">
        <f>D288+(Simulator!$B$5+D288*C289/12)/B289</f>
        <v/>
      </c>
      <c r="E289" s="60">
        <f>D289*B289</f>
        <v/>
      </c>
      <c r="F289" s="60">
        <f>D289*C289</f>
        <v/>
      </c>
    </row>
    <row r="290">
      <c r="A290" s="60" t="n">
        <v>286</v>
      </c>
      <c r="B290" s="60">
        <f>B289*(1+Simulator!$B$8)^(1/12)</f>
        <v/>
      </c>
      <c r="C290" s="60">
        <f>IF(AND(A290&gt;1,MOD(A290-1,12)=0),C289*(1+Simulator!$B$7),C289)</f>
        <v/>
      </c>
      <c r="D290" s="60">
        <f>D289+(Simulator!$B$5+D289*C290/12)/B290</f>
        <v/>
      </c>
      <c r="E290" s="60">
        <f>D290*B290</f>
        <v/>
      </c>
      <c r="F290" s="60">
        <f>D290*C290</f>
        <v/>
      </c>
    </row>
    <row r="291">
      <c r="A291" s="60" t="n">
        <v>287</v>
      </c>
      <c r="B291" s="60">
        <f>B290*(1+Simulator!$B$8)^(1/12)</f>
        <v/>
      </c>
      <c r="C291" s="60">
        <f>IF(AND(A291&gt;1,MOD(A291-1,12)=0),C290*(1+Simulator!$B$7),C290)</f>
        <v/>
      </c>
      <c r="D291" s="60">
        <f>D290+(Simulator!$B$5+D290*C291/12)/B291</f>
        <v/>
      </c>
      <c r="E291" s="60">
        <f>D291*B291</f>
        <v/>
      </c>
      <c r="F291" s="60">
        <f>D291*C291</f>
        <v/>
      </c>
    </row>
    <row r="292">
      <c r="A292" s="60" t="n">
        <v>288</v>
      </c>
      <c r="B292" s="60">
        <f>B291*(1+Simulator!$B$8)^(1/12)</f>
        <v/>
      </c>
      <c r="C292" s="60">
        <f>IF(AND(A292&gt;1,MOD(A292-1,12)=0),C291*(1+Simulator!$B$7),C291)</f>
        <v/>
      </c>
      <c r="D292" s="60">
        <f>D291+(Simulator!$B$5+D291*C292/12)/B292</f>
        <v/>
      </c>
      <c r="E292" s="60">
        <f>D292*B292</f>
        <v/>
      </c>
      <c r="F292" s="60">
        <f>D292*C292</f>
        <v/>
      </c>
    </row>
    <row r="293">
      <c r="A293" s="60" t="n">
        <v>289</v>
      </c>
      <c r="B293" s="60">
        <f>B292*(1+Simulator!$B$8)^(1/12)</f>
        <v/>
      </c>
      <c r="C293" s="60">
        <f>IF(AND(A293&gt;1,MOD(A293-1,12)=0),C292*(1+Simulator!$B$7),C292)</f>
        <v/>
      </c>
      <c r="D293" s="60">
        <f>D292+(Simulator!$B$5+D292*C293/12)/B293</f>
        <v/>
      </c>
      <c r="E293" s="60">
        <f>D293*B293</f>
        <v/>
      </c>
      <c r="F293" s="60">
        <f>D293*C293</f>
        <v/>
      </c>
    </row>
    <row r="294">
      <c r="A294" s="60" t="n">
        <v>290</v>
      </c>
      <c r="B294" s="60">
        <f>B293*(1+Simulator!$B$8)^(1/12)</f>
        <v/>
      </c>
      <c r="C294" s="60">
        <f>IF(AND(A294&gt;1,MOD(A294-1,12)=0),C293*(1+Simulator!$B$7),C293)</f>
        <v/>
      </c>
      <c r="D294" s="60">
        <f>D293+(Simulator!$B$5+D293*C294/12)/B294</f>
        <v/>
      </c>
      <c r="E294" s="60">
        <f>D294*B294</f>
        <v/>
      </c>
      <c r="F294" s="60">
        <f>D294*C294</f>
        <v/>
      </c>
    </row>
    <row r="295">
      <c r="A295" s="60" t="n">
        <v>291</v>
      </c>
      <c r="B295" s="60">
        <f>B294*(1+Simulator!$B$8)^(1/12)</f>
        <v/>
      </c>
      <c r="C295" s="60">
        <f>IF(AND(A295&gt;1,MOD(A295-1,12)=0),C294*(1+Simulator!$B$7),C294)</f>
        <v/>
      </c>
      <c r="D295" s="60">
        <f>D294+(Simulator!$B$5+D294*C295/12)/B295</f>
        <v/>
      </c>
      <c r="E295" s="60">
        <f>D295*B295</f>
        <v/>
      </c>
      <c r="F295" s="60">
        <f>D295*C295</f>
        <v/>
      </c>
    </row>
    <row r="296">
      <c r="A296" s="60" t="n">
        <v>292</v>
      </c>
      <c r="B296" s="60">
        <f>B295*(1+Simulator!$B$8)^(1/12)</f>
        <v/>
      </c>
      <c r="C296" s="60">
        <f>IF(AND(A296&gt;1,MOD(A296-1,12)=0),C295*(1+Simulator!$B$7),C295)</f>
        <v/>
      </c>
      <c r="D296" s="60">
        <f>D295+(Simulator!$B$5+D295*C296/12)/B296</f>
        <v/>
      </c>
      <c r="E296" s="60">
        <f>D296*B296</f>
        <v/>
      </c>
      <c r="F296" s="60">
        <f>D296*C296</f>
        <v/>
      </c>
    </row>
    <row r="297">
      <c r="A297" s="60" t="n">
        <v>293</v>
      </c>
      <c r="B297" s="60">
        <f>B296*(1+Simulator!$B$8)^(1/12)</f>
        <v/>
      </c>
      <c r="C297" s="60">
        <f>IF(AND(A297&gt;1,MOD(A297-1,12)=0),C296*(1+Simulator!$B$7),C296)</f>
        <v/>
      </c>
      <c r="D297" s="60">
        <f>D296+(Simulator!$B$5+D296*C297/12)/B297</f>
        <v/>
      </c>
      <c r="E297" s="60">
        <f>D297*B297</f>
        <v/>
      </c>
      <c r="F297" s="60">
        <f>D297*C297</f>
        <v/>
      </c>
    </row>
    <row r="298">
      <c r="A298" s="60" t="n">
        <v>294</v>
      </c>
      <c r="B298" s="60">
        <f>B297*(1+Simulator!$B$8)^(1/12)</f>
        <v/>
      </c>
      <c r="C298" s="60">
        <f>IF(AND(A298&gt;1,MOD(A298-1,12)=0),C297*(1+Simulator!$B$7),C297)</f>
        <v/>
      </c>
      <c r="D298" s="60">
        <f>D297+(Simulator!$B$5+D297*C298/12)/B298</f>
        <v/>
      </c>
      <c r="E298" s="60">
        <f>D298*B298</f>
        <v/>
      </c>
      <c r="F298" s="60">
        <f>D298*C298</f>
        <v/>
      </c>
    </row>
    <row r="299">
      <c r="A299" s="60" t="n">
        <v>295</v>
      </c>
      <c r="B299" s="60">
        <f>B298*(1+Simulator!$B$8)^(1/12)</f>
        <v/>
      </c>
      <c r="C299" s="60">
        <f>IF(AND(A299&gt;1,MOD(A299-1,12)=0),C298*(1+Simulator!$B$7),C298)</f>
        <v/>
      </c>
      <c r="D299" s="60">
        <f>D298+(Simulator!$B$5+D298*C299/12)/B299</f>
        <v/>
      </c>
      <c r="E299" s="60">
        <f>D299*B299</f>
        <v/>
      </c>
      <c r="F299" s="60">
        <f>D299*C299</f>
        <v/>
      </c>
    </row>
    <row r="300">
      <c r="A300" s="60" t="n">
        <v>296</v>
      </c>
      <c r="B300" s="60">
        <f>B299*(1+Simulator!$B$8)^(1/12)</f>
        <v/>
      </c>
      <c r="C300" s="60">
        <f>IF(AND(A300&gt;1,MOD(A300-1,12)=0),C299*(1+Simulator!$B$7),C299)</f>
        <v/>
      </c>
      <c r="D300" s="60">
        <f>D299+(Simulator!$B$5+D299*C300/12)/B300</f>
        <v/>
      </c>
      <c r="E300" s="60">
        <f>D300*B300</f>
        <v/>
      </c>
      <c r="F300" s="60">
        <f>D300*C300</f>
        <v/>
      </c>
    </row>
    <row r="301">
      <c r="A301" s="60" t="n">
        <v>297</v>
      </c>
      <c r="B301" s="60">
        <f>B300*(1+Simulator!$B$8)^(1/12)</f>
        <v/>
      </c>
      <c r="C301" s="60">
        <f>IF(AND(A301&gt;1,MOD(A301-1,12)=0),C300*(1+Simulator!$B$7),C300)</f>
        <v/>
      </c>
      <c r="D301" s="60">
        <f>D300+(Simulator!$B$5+D300*C301/12)/B301</f>
        <v/>
      </c>
      <c r="E301" s="60">
        <f>D301*B301</f>
        <v/>
      </c>
      <c r="F301" s="60">
        <f>D301*C301</f>
        <v/>
      </c>
    </row>
    <row r="302">
      <c r="A302" s="60" t="n">
        <v>298</v>
      </c>
      <c r="B302" s="60">
        <f>B301*(1+Simulator!$B$8)^(1/12)</f>
        <v/>
      </c>
      <c r="C302" s="60">
        <f>IF(AND(A302&gt;1,MOD(A302-1,12)=0),C301*(1+Simulator!$B$7),C301)</f>
        <v/>
      </c>
      <c r="D302" s="60">
        <f>D301+(Simulator!$B$5+D301*C302/12)/B302</f>
        <v/>
      </c>
      <c r="E302" s="60">
        <f>D302*B302</f>
        <v/>
      </c>
      <c r="F302" s="60">
        <f>D302*C302</f>
        <v/>
      </c>
    </row>
    <row r="303">
      <c r="A303" s="60" t="n">
        <v>299</v>
      </c>
      <c r="B303" s="60">
        <f>B302*(1+Simulator!$B$8)^(1/12)</f>
        <v/>
      </c>
      <c r="C303" s="60">
        <f>IF(AND(A303&gt;1,MOD(A303-1,12)=0),C302*(1+Simulator!$B$7),C302)</f>
        <v/>
      </c>
      <c r="D303" s="60">
        <f>D302+(Simulator!$B$5+D302*C303/12)/B303</f>
        <v/>
      </c>
      <c r="E303" s="60">
        <f>D303*B303</f>
        <v/>
      </c>
      <c r="F303" s="60">
        <f>D303*C303</f>
        <v/>
      </c>
    </row>
    <row r="304">
      <c r="A304" s="60" t="n">
        <v>300</v>
      </c>
      <c r="B304" s="60">
        <f>B303*(1+Simulator!$B$8)^(1/12)</f>
        <v/>
      </c>
      <c r="C304" s="60">
        <f>IF(AND(A304&gt;1,MOD(A304-1,12)=0),C303*(1+Simulator!$B$7),C303)</f>
        <v/>
      </c>
      <c r="D304" s="60">
        <f>D303+(Simulator!$B$5+D303*C304/12)/B304</f>
        <v/>
      </c>
      <c r="E304" s="60">
        <f>D304*B304</f>
        <v/>
      </c>
      <c r="F304" s="60">
        <f>D304*C304</f>
        <v/>
      </c>
    </row>
    <row r="305">
      <c r="A305" s="60" t="n">
        <v>301</v>
      </c>
      <c r="B305" s="60">
        <f>B304*(1+Simulator!$B$8)^(1/12)</f>
        <v/>
      </c>
      <c r="C305" s="60">
        <f>IF(AND(A305&gt;1,MOD(A305-1,12)=0),C304*(1+Simulator!$B$7),C304)</f>
        <v/>
      </c>
      <c r="D305" s="60">
        <f>D304+(Simulator!$B$5+D304*C305/12)/B305</f>
        <v/>
      </c>
      <c r="E305" s="60">
        <f>D305*B305</f>
        <v/>
      </c>
      <c r="F305" s="60">
        <f>D305*C305</f>
        <v/>
      </c>
    </row>
    <row r="306">
      <c r="A306" s="60" t="n">
        <v>302</v>
      </c>
      <c r="B306" s="60">
        <f>B305*(1+Simulator!$B$8)^(1/12)</f>
        <v/>
      </c>
      <c r="C306" s="60">
        <f>IF(AND(A306&gt;1,MOD(A306-1,12)=0),C305*(1+Simulator!$B$7),C305)</f>
        <v/>
      </c>
      <c r="D306" s="60">
        <f>D305+(Simulator!$B$5+D305*C306/12)/B306</f>
        <v/>
      </c>
      <c r="E306" s="60">
        <f>D306*B306</f>
        <v/>
      </c>
      <c r="F306" s="60">
        <f>D306*C306</f>
        <v/>
      </c>
    </row>
    <row r="307">
      <c r="A307" s="60" t="n">
        <v>303</v>
      </c>
      <c r="B307" s="60">
        <f>B306*(1+Simulator!$B$8)^(1/12)</f>
        <v/>
      </c>
      <c r="C307" s="60">
        <f>IF(AND(A307&gt;1,MOD(A307-1,12)=0),C306*(1+Simulator!$B$7),C306)</f>
        <v/>
      </c>
      <c r="D307" s="60">
        <f>D306+(Simulator!$B$5+D306*C307/12)/B307</f>
        <v/>
      </c>
      <c r="E307" s="60">
        <f>D307*B307</f>
        <v/>
      </c>
      <c r="F307" s="60">
        <f>D307*C307</f>
        <v/>
      </c>
    </row>
    <row r="308">
      <c r="A308" s="60" t="n">
        <v>304</v>
      </c>
      <c r="B308" s="60">
        <f>B307*(1+Simulator!$B$8)^(1/12)</f>
        <v/>
      </c>
      <c r="C308" s="60">
        <f>IF(AND(A308&gt;1,MOD(A308-1,12)=0),C307*(1+Simulator!$B$7),C307)</f>
        <v/>
      </c>
      <c r="D308" s="60">
        <f>D307+(Simulator!$B$5+D307*C308/12)/B308</f>
        <v/>
      </c>
      <c r="E308" s="60">
        <f>D308*B308</f>
        <v/>
      </c>
      <c r="F308" s="60">
        <f>D308*C308</f>
        <v/>
      </c>
    </row>
    <row r="309">
      <c r="A309" s="60" t="n">
        <v>305</v>
      </c>
      <c r="B309" s="60">
        <f>B308*(1+Simulator!$B$8)^(1/12)</f>
        <v/>
      </c>
      <c r="C309" s="60">
        <f>IF(AND(A309&gt;1,MOD(A309-1,12)=0),C308*(1+Simulator!$B$7),C308)</f>
        <v/>
      </c>
      <c r="D309" s="60">
        <f>D308+(Simulator!$B$5+D308*C309/12)/B309</f>
        <v/>
      </c>
      <c r="E309" s="60">
        <f>D309*B309</f>
        <v/>
      </c>
      <c r="F309" s="60">
        <f>D309*C309</f>
        <v/>
      </c>
    </row>
    <row r="310">
      <c r="A310" s="60" t="n">
        <v>306</v>
      </c>
      <c r="B310" s="60">
        <f>B309*(1+Simulator!$B$8)^(1/12)</f>
        <v/>
      </c>
      <c r="C310" s="60">
        <f>IF(AND(A310&gt;1,MOD(A310-1,12)=0),C309*(1+Simulator!$B$7),C309)</f>
        <v/>
      </c>
      <c r="D310" s="60">
        <f>D309+(Simulator!$B$5+D309*C310/12)/B310</f>
        <v/>
      </c>
      <c r="E310" s="60">
        <f>D310*B310</f>
        <v/>
      </c>
      <c r="F310" s="60">
        <f>D310*C310</f>
        <v/>
      </c>
    </row>
    <row r="311">
      <c r="A311" s="60" t="n">
        <v>307</v>
      </c>
      <c r="B311" s="60">
        <f>B310*(1+Simulator!$B$8)^(1/12)</f>
        <v/>
      </c>
      <c r="C311" s="60">
        <f>IF(AND(A311&gt;1,MOD(A311-1,12)=0),C310*(1+Simulator!$B$7),C310)</f>
        <v/>
      </c>
      <c r="D311" s="60">
        <f>D310+(Simulator!$B$5+D310*C311/12)/B311</f>
        <v/>
      </c>
      <c r="E311" s="60">
        <f>D311*B311</f>
        <v/>
      </c>
      <c r="F311" s="60">
        <f>D311*C311</f>
        <v/>
      </c>
    </row>
    <row r="312">
      <c r="A312" s="60" t="n">
        <v>308</v>
      </c>
      <c r="B312" s="60">
        <f>B311*(1+Simulator!$B$8)^(1/12)</f>
        <v/>
      </c>
      <c r="C312" s="60">
        <f>IF(AND(A312&gt;1,MOD(A312-1,12)=0),C311*(1+Simulator!$B$7),C311)</f>
        <v/>
      </c>
      <c r="D312" s="60">
        <f>D311+(Simulator!$B$5+D311*C312/12)/B312</f>
        <v/>
      </c>
      <c r="E312" s="60">
        <f>D312*B312</f>
        <v/>
      </c>
      <c r="F312" s="60">
        <f>D312*C312</f>
        <v/>
      </c>
    </row>
    <row r="313">
      <c r="A313" s="60" t="n">
        <v>309</v>
      </c>
      <c r="B313" s="60">
        <f>B312*(1+Simulator!$B$8)^(1/12)</f>
        <v/>
      </c>
      <c r="C313" s="60">
        <f>IF(AND(A313&gt;1,MOD(A313-1,12)=0),C312*(1+Simulator!$B$7),C312)</f>
        <v/>
      </c>
      <c r="D313" s="60">
        <f>D312+(Simulator!$B$5+D312*C313/12)/B313</f>
        <v/>
      </c>
      <c r="E313" s="60">
        <f>D313*B313</f>
        <v/>
      </c>
      <c r="F313" s="60">
        <f>D313*C313</f>
        <v/>
      </c>
    </row>
    <row r="314">
      <c r="A314" s="60" t="n">
        <v>310</v>
      </c>
      <c r="B314" s="60">
        <f>B313*(1+Simulator!$B$8)^(1/12)</f>
        <v/>
      </c>
      <c r="C314" s="60">
        <f>IF(AND(A314&gt;1,MOD(A314-1,12)=0),C313*(1+Simulator!$B$7),C313)</f>
        <v/>
      </c>
      <c r="D314" s="60">
        <f>D313+(Simulator!$B$5+D313*C314/12)/B314</f>
        <v/>
      </c>
      <c r="E314" s="60">
        <f>D314*B314</f>
        <v/>
      </c>
      <c r="F314" s="60">
        <f>D314*C314</f>
        <v/>
      </c>
    </row>
    <row r="315">
      <c r="A315" s="60" t="n">
        <v>311</v>
      </c>
      <c r="B315" s="60">
        <f>B314*(1+Simulator!$B$8)^(1/12)</f>
        <v/>
      </c>
      <c r="C315" s="60">
        <f>IF(AND(A315&gt;1,MOD(A315-1,12)=0),C314*(1+Simulator!$B$7),C314)</f>
        <v/>
      </c>
      <c r="D315" s="60">
        <f>D314+(Simulator!$B$5+D314*C315/12)/B315</f>
        <v/>
      </c>
      <c r="E315" s="60">
        <f>D315*B315</f>
        <v/>
      </c>
      <c r="F315" s="60">
        <f>D315*C315</f>
        <v/>
      </c>
    </row>
    <row r="316">
      <c r="A316" s="60" t="n">
        <v>312</v>
      </c>
      <c r="B316" s="60">
        <f>B315*(1+Simulator!$B$8)^(1/12)</f>
        <v/>
      </c>
      <c r="C316" s="60">
        <f>IF(AND(A316&gt;1,MOD(A316-1,12)=0),C315*(1+Simulator!$B$7),C315)</f>
        <v/>
      </c>
      <c r="D316" s="60">
        <f>D315+(Simulator!$B$5+D315*C316/12)/B316</f>
        <v/>
      </c>
      <c r="E316" s="60">
        <f>D316*B316</f>
        <v/>
      </c>
      <c r="F316" s="60">
        <f>D316*C316</f>
        <v/>
      </c>
    </row>
    <row r="317">
      <c r="A317" s="60" t="n">
        <v>313</v>
      </c>
      <c r="B317" s="60">
        <f>B316*(1+Simulator!$B$8)^(1/12)</f>
        <v/>
      </c>
      <c r="C317" s="60">
        <f>IF(AND(A317&gt;1,MOD(A317-1,12)=0),C316*(1+Simulator!$B$7),C316)</f>
        <v/>
      </c>
      <c r="D317" s="60">
        <f>D316+(Simulator!$B$5+D316*C317/12)/B317</f>
        <v/>
      </c>
      <c r="E317" s="60">
        <f>D317*B317</f>
        <v/>
      </c>
      <c r="F317" s="60">
        <f>D317*C317</f>
        <v/>
      </c>
    </row>
    <row r="318">
      <c r="A318" s="60" t="n">
        <v>314</v>
      </c>
      <c r="B318" s="60">
        <f>B317*(1+Simulator!$B$8)^(1/12)</f>
        <v/>
      </c>
      <c r="C318" s="60">
        <f>IF(AND(A318&gt;1,MOD(A318-1,12)=0),C317*(1+Simulator!$B$7),C317)</f>
        <v/>
      </c>
      <c r="D318" s="60">
        <f>D317+(Simulator!$B$5+D317*C318/12)/B318</f>
        <v/>
      </c>
      <c r="E318" s="60">
        <f>D318*B318</f>
        <v/>
      </c>
      <c r="F318" s="60">
        <f>D318*C318</f>
        <v/>
      </c>
    </row>
    <row r="319">
      <c r="A319" s="60" t="n">
        <v>315</v>
      </c>
      <c r="B319" s="60">
        <f>B318*(1+Simulator!$B$8)^(1/12)</f>
        <v/>
      </c>
      <c r="C319" s="60">
        <f>IF(AND(A319&gt;1,MOD(A319-1,12)=0),C318*(1+Simulator!$B$7),C318)</f>
        <v/>
      </c>
      <c r="D319" s="60">
        <f>D318+(Simulator!$B$5+D318*C319/12)/B319</f>
        <v/>
      </c>
      <c r="E319" s="60">
        <f>D319*B319</f>
        <v/>
      </c>
      <c r="F319" s="60">
        <f>D319*C319</f>
        <v/>
      </c>
    </row>
    <row r="320">
      <c r="A320" s="60" t="n">
        <v>316</v>
      </c>
      <c r="B320" s="60">
        <f>B319*(1+Simulator!$B$8)^(1/12)</f>
        <v/>
      </c>
      <c r="C320" s="60">
        <f>IF(AND(A320&gt;1,MOD(A320-1,12)=0),C319*(1+Simulator!$B$7),C319)</f>
        <v/>
      </c>
      <c r="D320" s="60">
        <f>D319+(Simulator!$B$5+D319*C320/12)/B320</f>
        <v/>
      </c>
      <c r="E320" s="60">
        <f>D320*B320</f>
        <v/>
      </c>
      <c r="F320" s="60">
        <f>D320*C320</f>
        <v/>
      </c>
    </row>
    <row r="321">
      <c r="A321" s="60" t="n">
        <v>317</v>
      </c>
      <c r="B321" s="60">
        <f>B320*(1+Simulator!$B$8)^(1/12)</f>
        <v/>
      </c>
      <c r="C321" s="60">
        <f>IF(AND(A321&gt;1,MOD(A321-1,12)=0),C320*(1+Simulator!$B$7),C320)</f>
        <v/>
      </c>
      <c r="D321" s="60">
        <f>D320+(Simulator!$B$5+D320*C321/12)/B321</f>
        <v/>
      </c>
      <c r="E321" s="60">
        <f>D321*B321</f>
        <v/>
      </c>
      <c r="F321" s="60">
        <f>D321*C321</f>
        <v/>
      </c>
    </row>
    <row r="322">
      <c r="A322" s="60" t="n">
        <v>318</v>
      </c>
      <c r="B322" s="60">
        <f>B321*(1+Simulator!$B$8)^(1/12)</f>
        <v/>
      </c>
      <c r="C322" s="60">
        <f>IF(AND(A322&gt;1,MOD(A322-1,12)=0),C321*(1+Simulator!$B$7),C321)</f>
        <v/>
      </c>
      <c r="D322" s="60">
        <f>D321+(Simulator!$B$5+D321*C322/12)/B322</f>
        <v/>
      </c>
      <c r="E322" s="60">
        <f>D322*B322</f>
        <v/>
      </c>
      <c r="F322" s="60">
        <f>D322*C322</f>
        <v/>
      </c>
    </row>
    <row r="323">
      <c r="A323" s="60" t="n">
        <v>319</v>
      </c>
      <c r="B323" s="60">
        <f>B322*(1+Simulator!$B$8)^(1/12)</f>
        <v/>
      </c>
      <c r="C323" s="60">
        <f>IF(AND(A323&gt;1,MOD(A323-1,12)=0),C322*(1+Simulator!$B$7),C322)</f>
        <v/>
      </c>
      <c r="D323" s="60">
        <f>D322+(Simulator!$B$5+D322*C323/12)/B323</f>
        <v/>
      </c>
      <c r="E323" s="60">
        <f>D323*B323</f>
        <v/>
      </c>
      <c r="F323" s="60">
        <f>D323*C323</f>
        <v/>
      </c>
    </row>
    <row r="324">
      <c r="A324" s="60" t="n">
        <v>320</v>
      </c>
      <c r="B324" s="60">
        <f>B323*(1+Simulator!$B$8)^(1/12)</f>
        <v/>
      </c>
      <c r="C324" s="60">
        <f>IF(AND(A324&gt;1,MOD(A324-1,12)=0),C323*(1+Simulator!$B$7),C323)</f>
        <v/>
      </c>
      <c r="D324" s="60">
        <f>D323+(Simulator!$B$5+D323*C324/12)/B324</f>
        <v/>
      </c>
      <c r="E324" s="60">
        <f>D324*B324</f>
        <v/>
      </c>
      <c r="F324" s="60">
        <f>D324*C324</f>
        <v/>
      </c>
    </row>
    <row r="325">
      <c r="A325" s="60" t="n">
        <v>321</v>
      </c>
      <c r="B325" s="60">
        <f>B324*(1+Simulator!$B$8)^(1/12)</f>
        <v/>
      </c>
      <c r="C325" s="60">
        <f>IF(AND(A325&gt;1,MOD(A325-1,12)=0),C324*(1+Simulator!$B$7),C324)</f>
        <v/>
      </c>
      <c r="D325" s="60">
        <f>D324+(Simulator!$B$5+D324*C325/12)/B325</f>
        <v/>
      </c>
      <c r="E325" s="60">
        <f>D325*B325</f>
        <v/>
      </c>
      <c r="F325" s="60">
        <f>D325*C325</f>
        <v/>
      </c>
    </row>
    <row r="326">
      <c r="A326" s="60" t="n">
        <v>322</v>
      </c>
      <c r="B326" s="60">
        <f>B325*(1+Simulator!$B$8)^(1/12)</f>
        <v/>
      </c>
      <c r="C326" s="60">
        <f>IF(AND(A326&gt;1,MOD(A326-1,12)=0),C325*(1+Simulator!$B$7),C325)</f>
        <v/>
      </c>
      <c r="D326" s="60">
        <f>D325+(Simulator!$B$5+D325*C326/12)/B326</f>
        <v/>
      </c>
      <c r="E326" s="60">
        <f>D326*B326</f>
        <v/>
      </c>
      <c r="F326" s="60">
        <f>D326*C326</f>
        <v/>
      </c>
    </row>
    <row r="327">
      <c r="A327" s="60" t="n">
        <v>323</v>
      </c>
      <c r="B327" s="60">
        <f>B326*(1+Simulator!$B$8)^(1/12)</f>
        <v/>
      </c>
      <c r="C327" s="60">
        <f>IF(AND(A327&gt;1,MOD(A327-1,12)=0),C326*(1+Simulator!$B$7),C326)</f>
        <v/>
      </c>
      <c r="D327" s="60">
        <f>D326+(Simulator!$B$5+D326*C327/12)/B327</f>
        <v/>
      </c>
      <c r="E327" s="60">
        <f>D327*B327</f>
        <v/>
      </c>
      <c r="F327" s="60">
        <f>D327*C327</f>
        <v/>
      </c>
    </row>
    <row r="328">
      <c r="A328" s="60" t="n">
        <v>324</v>
      </c>
      <c r="B328" s="60">
        <f>B327*(1+Simulator!$B$8)^(1/12)</f>
        <v/>
      </c>
      <c r="C328" s="60">
        <f>IF(AND(A328&gt;1,MOD(A328-1,12)=0),C327*(1+Simulator!$B$7),C327)</f>
        <v/>
      </c>
      <c r="D328" s="60">
        <f>D327+(Simulator!$B$5+D327*C328/12)/B328</f>
        <v/>
      </c>
      <c r="E328" s="60">
        <f>D328*B328</f>
        <v/>
      </c>
      <c r="F328" s="60">
        <f>D328*C328</f>
        <v/>
      </c>
    </row>
    <row r="329">
      <c r="A329" s="60" t="n">
        <v>325</v>
      </c>
      <c r="B329" s="60">
        <f>B328*(1+Simulator!$B$8)^(1/12)</f>
        <v/>
      </c>
      <c r="C329" s="60">
        <f>IF(AND(A329&gt;1,MOD(A329-1,12)=0),C328*(1+Simulator!$B$7),C328)</f>
        <v/>
      </c>
      <c r="D329" s="60">
        <f>D328+(Simulator!$B$5+D328*C329/12)/B329</f>
        <v/>
      </c>
      <c r="E329" s="60">
        <f>D329*B329</f>
        <v/>
      </c>
      <c r="F329" s="60">
        <f>D329*C329</f>
        <v/>
      </c>
    </row>
    <row r="330">
      <c r="A330" s="60" t="n">
        <v>326</v>
      </c>
      <c r="B330" s="60">
        <f>B329*(1+Simulator!$B$8)^(1/12)</f>
        <v/>
      </c>
      <c r="C330" s="60">
        <f>IF(AND(A330&gt;1,MOD(A330-1,12)=0),C329*(1+Simulator!$B$7),C329)</f>
        <v/>
      </c>
      <c r="D330" s="60">
        <f>D329+(Simulator!$B$5+D329*C330/12)/B330</f>
        <v/>
      </c>
      <c r="E330" s="60">
        <f>D330*B330</f>
        <v/>
      </c>
      <c r="F330" s="60">
        <f>D330*C330</f>
        <v/>
      </c>
    </row>
    <row r="331">
      <c r="A331" s="60" t="n">
        <v>327</v>
      </c>
      <c r="B331" s="60">
        <f>B330*(1+Simulator!$B$8)^(1/12)</f>
        <v/>
      </c>
      <c r="C331" s="60">
        <f>IF(AND(A331&gt;1,MOD(A331-1,12)=0),C330*(1+Simulator!$B$7),C330)</f>
        <v/>
      </c>
      <c r="D331" s="60">
        <f>D330+(Simulator!$B$5+D330*C331/12)/B331</f>
        <v/>
      </c>
      <c r="E331" s="60">
        <f>D331*B331</f>
        <v/>
      </c>
      <c r="F331" s="60">
        <f>D331*C331</f>
        <v/>
      </c>
    </row>
    <row r="332">
      <c r="A332" s="60" t="n">
        <v>328</v>
      </c>
      <c r="B332" s="60">
        <f>B331*(1+Simulator!$B$8)^(1/12)</f>
        <v/>
      </c>
      <c r="C332" s="60">
        <f>IF(AND(A332&gt;1,MOD(A332-1,12)=0),C331*(1+Simulator!$B$7),C331)</f>
        <v/>
      </c>
      <c r="D332" s="60">
        <f>D331+(Simulator!$B$5+D331*C332/12)/B332</f>
        <v/>
      </c>
      <c r="E332" s="60">
        <f>D332*B332</f>
        <v/>
      </c>
      <c r="F332" s="60">
        <f>D332*C332</f>
        <v/>
      </c>
    </row>
    <row r="333">
      <c r="A333" s="60" t="n">
        <v>329</v>
      </c>
      <c r="B333" s="60">
        <f>B332*(1+Simulator!$B$8)^(1/12)</f>
        <v/>
      </c>
      <c r="C333" s="60">
        <f>IF(AND(A333&gt;1,MOD(A333-1,12)=0),C332*(1+Simulator!$B$7),C332)</f>
        <v/>
      </c>
      <c r="D333" s="60">
        <f>D332+(Simulator!$B$5+D332*C333/12)/B333</f>
        <v/>
      </c>
      <c r="E333" s="60">
        <f>D333*B333</f>
        <v/>
      </c>
      <c r="F333" s="60">
        <f>D333*C333</f>
        <v/>
      </c>
    </row>
    <row r="334">
      <c r="A334" s="60" t="n">
        <v>330</v>
      </c>
      <c r="B334" s="60">
        <f>B333*(1+Simulator!$B$8)^(1/12)</f>
        <v/>
      </c>
      <c r="C334" s="60">
        <f>IF(AND(A334&gt;1,MOD(A334-1,12)=0),C333*(1+Simulator!$B$7),C333)</f>
        <v/>
      </c>
      <c r="D334" s="60">
        <f>D333+(Simulator!$B$5+D333*C334/12)/B334</f>
        <v/>
      </c>
      <c r="E334" s="60">
        <f>D334*B334</f>
        <v/>
      </c>
      <c r="F334" s="60">
        <f>D334*C334</f>
        <v/>
      </c>
    </row>
    <row r="335">
      <c r="A335" s="60" t="n">
        <v>331</v>
      </c>
      <c r="B335" s="60">
        <f>B334*(1+Simulator!$B$8)^(1/12)</f>
        <v/>
      </c>
      <c r="C335" s="60">
        <f>IF(AND(A335&gt;1,MOD(A335-1,12)=0),C334*(1+Simulator!$B$7),C334)</f>
        <v/>
      </c>
      <c r="D335" s="60">
        <f>D334+(Simulator!$B$5+D334*C335/12)/B335</f>
        <v/>
      </c>
      <c r="E335" s="60">
        <f>D335*B335</f>
        <v/>
      </c>
      <c r="F335" s="60">
        <f>D335*C335</f>
        <v/>
      </c>
    </row>
    <row r="336">
      <c r="A336" s="60" t="n">
        <v>332</v>
      </c>
      <c r="B336" s="60">
        <f>B335*(1+Simulator!$B$8)^(1/12)</f>
        <v/>
      </c>
      <c r="C336" s="60">
        <f>IF(AND(A336&gt;1,MOD(A336-1,12)=0),C335*(1+Simulator!$B$7),C335)</f>
        <v/>
      </c>
      <c r="D336" s="60">
        <f>D335+(Simulator!$B$5+D335*C336/12)/B336</f>
        <v/>
      </c>
      <c r="E336" s="60">
        <f>D336*B336</f>
        <v/>
      </c>
      <c r="F336" s="60">
        <f>D336*C336</f>
        <v/>
      </c>
    </row>
    <row r="337">
      <c r="A337" s="60" t="n">
        <v>333</v>
      </c>
      <c r="B337" s="60">
        <f>B336*(1+Simulator!$B$8)^(1/12)</f>
        <v/>
      </c>
      <c r="C337" s="60">
        <f>IF(AND(A337&gt;1,MOD(A337-1,12)=0),C336*(1+Simulator!$B$7),C336)</f>
        <v/>
      </c>
      <c r="D337" s="60">
        <f>D336+(Simulator!$B$5+D336*C337/12)/B337</f>
        <v/>
      </c>
      <c r="E337" s="60">
        <f>D337*B337</f>
        <v/>
      </c>
      <c r="F337" s="60">
        <f>D337*C337</f>
        <v/>
      </c>
    </row>
    <row r="338">
      <c r="A338" s="60" t="n">
        <v>334</v>
      </c>
      <c r="B338" s="60">
        <f>B337*(1+Simulator!$B$8)^(1/12)</f>
        <v/>
      </c>
      <c r="C338" s="60">
        <f>IF(AND(A338&gt;1,MOD(A338-1,12)=0),C337*(1+Simulator!$B$7),C337)</f>
        <v/>
      </c>
      <c r="D338" s="60">
        <f>D337+(Simulator!$B$5+D337*C338/12)/B338</f>
        <v/>
      </c>
      <c r="E338" s="60">
        <f>D338*B338</f>
        <v/>
      </c>
      <c r="F338" s="60">
        <f>D338*C338</f>
        <v/>
      </c>
    </row>
    <row r="339">
      <c r="A339" s="60" t="n">
        <v>335</v>
      </c>
      <c r="B339" s="60">
        <f>B338*(1+Simulator!$B$8)^(1/12)</f>
        <v/>
      </c>
      <c r="C339" s="60">
        <f>IF(AND(A339&gt;1,MOD(A339-1,12)=0),C338*(1+Simulator!$B$7),C338)</f>
        <v/>
      </c>
      <c r="D339" s="60">
        <f>D338+(Simulator!$B$5+D338*C339/12)/B339</f>
        <v/>
      </c>
      <c r="E339" s="60">
        <f>D339*B339</f>
        <v/>
      </c>
      <c r="F339" s="60">
        <f>D339*C339</f>
        <v/>
      </c>
    </row>
    <row r="340">
      <c r="A340" s="60" t="n">
        <v>336</v>
      </c>
      <c r="B340" s="60">
        <f>B339*(1+Simulator!$B$8)^(1/12)</f>
        <v/>
      </c>
      <c r="C340" s="60">
        <f>IF(AND(A340&gt;1,MOD(A340-1,12)=0),C339*(1+Simulator!$B$7),C339)</f>
        <v/>
      </c>
      <c r="D340" s="60">
        <f>D339+(Simulator!$B$5+D339*C340/12)/B340</f>
        <v/>
      </c>
      <c r="E340" s="60">
        <f>D340*B340</f>
        <v/>
      </c>
      <c r="F340" s="60">
        <f>D340*C340</f>
        <v/>
      </c>
    </row>
    <row r="341">
      <c r="A341" s="60" t="n">
        <v>337</v>
      </c>
      <c r="B341" s="60">
        <f>B340*(1+Simulator!$B$8)^(1/12)</f>
        <v/>
      </c>
      <c r="C341" s="60">
        <f>IF(AND(A341&gt;1,MOD(A341-1,12)=0),C340*(1+Simulator!$B$7),C340)</f>
        <v/>
      </c>
      <c r="D341" s="60">
        <f>D340+(Simulator!$B$5+D340*C341/12)/B341</f>
        <v/>
      </c>
      <c r="E341" s="60">
        <f>D341*B341</f>
        <v/>
      </c>
      <c r="F341" s="60">
        <f>D341*C341</f>
        <v/>
      </c>
    </row>
    <row r="342">
      <c r="A342" s="60" t="n">
        <v>338</v>
      </c>
      <c r="B342" s="60">
        <f>B341*(1+Simulator!$B$8)^(1/12)</f>
        <v/>
      </c>
      <c r="C342" s="60">
        <f>IF(AND(A342&gt;1,MOD(A342-1,12)=0),C341*(1+Simulator!$B$7),C341)</f>
        <v/>
      </c>
      <c r="D342" s="60">
        <f>D341+(Simulator!$B$5+D341*C342/12)/B342</f>
        <v/>
      </c>
      <c r="E342" s="60">
        <f>D342*B342</f>
        <v/>
      </c>
      <c r="F342" s="60">
        <f>D342*C342</f>
        <v/>
      </c>
    </row>
    <row r="343">
      <c r="A343" s="60" t="n">
        <v>339</v>
      </c>
      <c r="B343" s="60">
        <f>B342*(1+Simulator!$B$8)^(1/12)</f>
        <v/>
      </c>
      <c r="C343" s="60">
        <f>IF(AND(A343&gt;1,MOD(A343-1,12)=0),C342*(1+Simulator!$B$7),C342)</f>
        <v/>
      </c>
      <c r="D343" s="60">
        <f>D342+(Simulator!$B$5+D342*C343/12)/B343</f>
        <v/>
      </c>
      <c r="E343" s="60">
        <f>D343*B343</f>
        <v/>
      </c>
      <c r="F343" s="60">
        <f>D343*C343</f>
        <v/>
      </c>
    </row>
    <row r="344">
      <c r="A344" s="60" t="n">
        <v>340</v>
      </c>
      <c r="B344" s="60">
        <f>B343*(1+Simulator!$B$8)^(1/12)</f>
        <v/>
      </c>
      <c r="C344" s="60">
        <f>IF(AND(A344&gt;1,MOD(A344-1,12)=0),C343*(1+Simulator!$B$7),C343)</f>
        <v/>
      </c>
      <c r="D344" s="60">
        <f>D343+(Simulator!$B$5+D343*C344/12)/B344</f>
        <v/>
      </c>
      <c r="E344" s="60">
        <f>D344*B344</f>
        <v/>
      </c>
      <c r="F344" s="60">
        <f>D344*C344</f>
        <v/>
      </c>
    </row>
    <row r="345">
      <c r="A345" s="60" t="n">
        <v>341</v>
      </c>
      <c r="B345" s="60">
        <f>B344*(1+Simulator!$B$8)^(1/12)</f>
        <v/>
      </c>
      <c r="C345" s="60">
        <f>IF(AND(A345&gt;1,MOD(A345-1,12)=0),C344*(1+Simulator!$B$7),C344)</f>
        <v/>
      </c>
      <c r="D345" s="60">
        <f>D344+(Simulator!$B$5+D344*C345/12)/B345</f>
        <v/>
      </c>
      <c r="E345" s="60">
        <f>D345*B345</f>
        <v/>
      </c>
      <c r="F345" s="60">
        <f>D345*C345</f>
        <v/>
      </c>
    </row>
    <row r="346">
      <c r="A346" s="60" t="n">
        <v>342</v>
      </c>
      <c r="B346" s="60">
        <f>B345*(1+Simulator!$B$8)^(1/12)</f>
        <v/>
      </c>
      <c r="C346" s="60">
        <f>IF(AND(A346&gt;1,MOD(A346-1,12)=0),C345*(1+Simulator!$B$7),C345)</f>
        <v/>
      </c>
      <c r="D346" s="60">
        <f>D345+(Simulator!$B$5+D345*C346/12)/B346</f>
        <v/>
      </c>
      <c r="E346" s="60">
        <f>D346*B346</f>
        <v/>
      </c>
      <c r="F346" s="60">
        <f>D346*C346</f>
        <v/>
      </c>
    </row>
    <row r="347">
      <c r="A347" s="60" t="n">
        <v>343</v>
      </c>
      <c r="B347" s="60">
        <f>B346*(1+Simulator!$B$8)^(1/12)</f>
        <v/>
      </c>
      <c r="C347" s="60">
        <f>IF(AND(A347&gt;1,MOD(A347-1,12)=0),C346*(1+Simulator!$B$7),C346)</f>
        <v/>
      </c>
      <c r="D347" s="60">
        <f>D346+(Simulator!$B$5+D346*C347/12)/B347</f>
        <v/>
      </c>
      <c r="E347" s="60">
        <f>D347*B347</f>
        <v/>
      </c>
      <c r="F347" s="60">
        <f>D347*C347</f>
        <v/>
      </c>
    </row>
    <row r="348">
      <c r="A348" s="60" t="n">
        <v>344</v>
      </c>
      <c r="B348" s="60">
        <f>B347*(1+Simulator!$B$8)^(1/12)</f>
        <v/>
      </c>
      <c r="C348" s="60">
        <f>IF(AND(A348&gt;1,MOD(A348-1,12)=0),C347*(1+Simulator!$B$7),C347)</f>
        <v/>
      </c>
      <c r="D348" s="60">
        <f>D347+(Simulator!$B$5+D347*C348/12)/B348</f>
        <v/>
      </c>
      <c r="E348" s="60">
        <f>D348*B348</f>
        <v/>
      </c>
      <c r="F348" s="60">
        <f>D348*C348</f>
        <v/>
      </c>
    </row>
    <row r="349">
      <c r="A349" s="60" t="n">
        <v>345</v>
      </c>
      <c r="B349" s="60">
        <f>B348*(1+Simulator!$B$8)^(1/12)</f>
        <v/>
      </c>
      <c r="C349" s="60">
        <f>IF(AND(A349&gt;1,MOD(A349-1,12)=0),C348*(1+Simulator!$B$7),C348)</f>
        <v/>
      </c>
      <c r="D349" s="60">
        <f>D348+(Simulator!$B$5+D348*C349/12)/B349</f>
        <v/>
      </c>
      <c r="E349" s="60">
        <f>D349*B349</f>
        <v/>
      </c>
      <c r="F349" s="60">
        <f>D349*C349</f>
        <v/>
      </c>
    </row>
    <row r="350">
      <c r="A350" s="60" t="n">
        <v>346</v>
      </c>
      <c r="B350" s="60">
        <f>B349*(1+Simulator!$B$8)^(1/12)</f>
        <v/>
      </c>
      <c r="C350" s="60">
        <f>IF(AND(A350&gt;1,MOD(A350-1,12)=0),C349*(1+Simulator!$B$7),C349)</f>
        <v/>
      </c>
      <c r="D350" s="60">
        <f>D349+(Simulator!$B$5+D349*C350/12)/B350</f>
        <v/>
      </c>
      <c r="E350" s="60">
        <f>D350*B350</f>
        <v/>
      </c>
      <c r="F350" s="60">
        <f>D350*C350</f>
        <v/>
      </c>
    </row>
    <row r="351">
      <c r="A351" s="60" t="n">
        <v>347</v>
      </c>
      <c r="B351" s="60">
        <f>B350*(1+Simulator!$B$8)^(1/12)</f>
        <v/>
      </c>
      <c r="C351" s="60">
        <f>IF(AND(A351&gt;1,MOD(A351-1,12)=0),C350*(1+Simulator!$B$7),C350)</f>
        <v/>
      </c>
      <c r="D351" s="60">
        <f>D350+(Simulator!$B$5+D350*C351/12)/B351</f>
        <v/>
      </c>
      <c r="E351" s="60">
        <f>D351*B351</f>
        <v/>
      </c>
      <c r="F351" s="60">
        <f>D351*C351</f>
        <v/>
      </c>
    </row>
    <row r="352">
      <c r="A352" s="60" t="n">
        <v>348</v>
      </c>
      <c r="B352" s="60">
        <f>B351*(1+Simulator!$B$8)^(1/12)</f>
        <v/>
      </c>
      <c r="C352" s="60">
        <f>IF(AND(A352&gt;1,MOD(A352-1,12)=0),C351*(1+Simulator!$B$7),C351)</f>
        <v/>
      </c>
      <c r="D352" s="60">
        <f>D351+(Simulator!$B$5+D351*C352/12)/B352</f>
        <v/>
      </c>
      <c r="E352" s="60">
        <f>D352*B352</f>
        <v/>
      </c>
      <c r="F352" s="60">
        <f>D352*C352</f>
        <v/>
      </c>
    </row>
    <row r="353">
      <c r="A353" s="60" t="n">
        <v>349</v>
      </c>
      <c r="B353" s="60">
        <f>B352*(1+Simulator!$B$8)^(1/12)</f>
        <v/>
      </c>
      <c r="C353" s="60">
        <f>IF(AND(A353&gt;1,MOD(A353-1,12)=0),C352*(1+Simulator!$B$7),C352)</f>
        <v/>
      </c>
      <c r="D353" s="60">
        <f>D352+(Simulator!$B$5+D352*C353/12)/B353</f>
        <v/>
      </c>
      <c r="E353" s="60">
        <f>D353*B353</f>
        <v/>
      </c>
      <c r="F353" s="60">
        <f>D353*C353</f>
        <v/>
      </c>
    </row>
    <row r="354">
      <c r="A354" s="60" t="n">
        <v>350</v>
      </c>
      <c r="B354" s="60">
        <f>B353*(1+Simulator!$B$8)^(1/12)</f>
        <v/>
      </c>
      <c r="C354" s="60">
        <f>IF(AND(A354&gt;1,MOD(A354-1,12)=0),C353*(1+Simulator!$B$7),C353)</f>
        <v/>
      </c>
      <c r="D354" s="60">
        <f>D353+(Simulator!$B$5+D353*C354/12)/B354</f>
        <v/>
      </c>
      <c r="E354" s="60">
        <f>D354*B354</f>
        <v/>
      </c>
      <c r="F354" s="60">
        <f>D354*C354</f>
        <v/>
      </c>
    </row>
    <row r="355">
      <c r="A355" s="60" t="n">
        <v>351</v>
      </c>
      <c r="B355" s="60">
        <f>B354*(1+Simulator!$B$8)^(1/12)</f>
        <v/>
      </c>
      <c r="C355" s="60">
        <f>IF(AND(A355&gt;1,MOD(A355-1,12)=0),C354*(1+Simulator!$B$7),C354)</f>
        <v/>
      </c>
      <c r="D355" s="60">
        <f>D354+(Simulator!$B$5+D354*C355/12)/B355</f>
        <v/>
      </c>
      <c r="E355" s="60">
        <f>D355*B355</f>
        <v/>
      </c>
      <c r="F355" s="60">
        <f>D355*C355</f>
        <v/>
      </c>
    </row>
    <row r="356">
      <c r="A356" s="60" t="n">
        <v>352</v>
      </c>
      <c r="B356" s="60">
        <f>B355*(1+Simulator!$B$8)^(1/12)</f>
        <v/>
      </c>
      <c r="C356" s="60">
        <f>IF(AND(A356&gt;1,MOD(A356-1,12)=0),C355*(1+Simulator!$B$7),C355)</f>
        <v/>
      </c>
      <c r="D356" s="60">
        <f>D355+(Simulator!$B$5+D355*C356/12)/B356</f>
        <v/>
      </c>
      <c r="E356" s="60">
        <f>D356*B356</f>
        <v/>
      </c>
      <c r="F356" s="60">
        <f>D356*C356</f>
        <v/>
      </c>
    </row>
    <row r="357">
      <c r="A357" s="60" t="n">
        <v>353</v>
      </c>
      <c r="B357" s="60">
        <f>B356*(1+Simulator!$B$8)^(1/12)</f>
        <v/>
      </c>
      <c r="C357" s="60">
        <f>IF(AND(A357&gt;1,MOD(A357-1,12)=0),C356*(1+Simulator!$B$7),C356)</f>
        <v/>
      </c>
      <c r="D357" s="60">
        <f>D356+(Simulator!$B$5+D356*C357/12)/B357</f>
        <v/>
      </c>
      <c r="E357" s="60">
        <f>D357*B357</f>
        <v/>
      </c>
      <c r="F357" s="60">
        <f>D357*C357</f>
        <v/>
      </c>
    </row>
    <row r="358">
      <c r="A358" s="60" t="n">
        <v>354</v>
      </c>
      <c r="B358" s="60">
        <f>B357*(1+Simulator!$B$8)^(1/12)</f>
        <v/>
      </c>
      <c r="C358" s="60">
        <f>IF(AND(A358&gt;1,MOD(A358-1,12)=0),C357*(1+Simulator!$B$7),C357)</f>
        <v/>
      </c>
      <c r="D358" s="60">
        <f>D357+(Simulator!$B$5+D357*C358/12)/B358</f>
        <v/>
      </c>
      <c r="E358" s="60">
        <f>D358*B358</f>
        <v/>
      </c>
      <c r="F358" s="60">
        <f>D358*C358</f>
        <v/>
      </c>
    </row>
    <row r="359">
      <c r="A359" s="60" t="n">
        <v>355</v>
      </c>
      <c r="B359" s="60">
        <f>B358*(1+Simulator!$B$8)^(1/12)</f>
        <v/>
      </c>
      <c r="C359" s="60">
        <f>IF(AND(A359&gt;1,MOD(A359-1,12)=0),C358*(1+Simulator!$B$7),C358)</f>
        <v/>
      </c>
      <c r="D359" s="60">
        <f>D358+(Simulator!$B$5+D358*C359/12)/B359</f>
        <v/>
      </c>
      <c r="E359" s="60">
        <f>D359*B359</f>
        <v/>
      </c>
      <c r="F359" s="60">
        <f>D359*C359</f>
        <v/>
      </c>
    </row>
    <row r="360">
      <c r="A360" s="60" t="n">
        <v>356</v>
      </c>
      <c r="B360" s="60">
        <f>B359*(1+Simulator!$B$8)^(1/12)</f>
        <v/>
      </c>
      <c r="C360" s="60">
        <f>IF(AND(A360&gt;1,MOD(A360-1,12)=0),C359*(1+Simulator!$B$7),C359)</f>
        <v/>
      </c>
      <c r="D360" s="60">
        <f>D359+(Simulator!$B$5+D359*C360/12)/B360</f>
        <v/>
      </c>
      <c r="E360" s="60">
        <f>D360*B360</f>
        <v/>
      </c>
      <c r="F360" s="60">
        <f>D360*C360</f>
        <v/>
      </c>
    </row>
    <row r="361">
      <c r="A361" s="60" t="n">
        <v>357</v>
      </c>
      <c r="B361" s="60">
        <f>B360*(1+Simulator!$B$8)^(1/12)</f>
        <v/>
      </c>
      <c r="C361" s="60">
        <f>IF(AND(A361&gt;1,MOD(A361-1,12)=0),C360*(1+Simulator!$B$7),C360)</f>
        <v/>
      </c>
      <c r="D361" s="60">
        <f>D360+(Simulator!$B$5+D360*C361/12)/B361</f>
        <v/>
      </c>
      <c r="E361" s="60">
        <f>D361*B361</f>
        <v/>
      </c>
      <c r="F361" s="60">
        <f>D361*C361</f>
        <v/>
      </c>
    </row>
    <row r="362">
      <c r="A362" s="60" t="n">
        <v>358</v>
      </c>
      <c r="B362" s="60">
        <f>B361*(1+Simulator!$B$8)^(1/12)</f>
        <v/>
      </c>
      <c r="C362" s="60">
        <f>IF(AND(A362&gt;1,MOD(A362-1,12)=0),C361*(1+Simulator!$B$7),C361)</f>
        <v/>
      </c>
      <c r="D362" s="60">
        <f>D361+(Simulator!$B$5+D361*C362/12)/B362</f>
        <v/>
      </c>
      <c r="E362" s="60">
        <f>D362*B362</f>
        <v/>
      </c>
      <c r="F362" s="60">
        <f>D362*C362</f>
        <v/>
      </c>
    </row>
    <row r="363">
      <c r="A363" s="60" t="n">
        <v>359</v>
      </c>
      <c r="B363" s="60">
        <f>B362*(1+Simulator!$B$8)^(1/12)</f>
        <v/>
      </c>
      <c r="C363" s="60">
        <f>IF(AND(A363&gt;1,MOD(A363-1,12)=0),C362*(1+Simulator!$B$7),C362)</f>
        <v/>
      </c>
      <c r="D363" s="60">
        <f>D362+(Simulator!$B$5+D362*C363/12)/B363</f>
        <v/>
      </c>
      <c r="E363" s="60">
        <f>D363*B363</f>
        <v/>
      </c>
      <c r="F363" s="60">
        <f>D363*C363</f>
        <v/>
      </c>
    </row>
    <row r="364">
      <c r="A364" s="60" t="n">
        <v>360</v>
      </c>
      <c r="B364" s="60">
        <f>B363*(1+Simulator!$B$8)^(1/12)</f>
        <v/>
      </c>
      <c r="C364" s="60">
        <f>IF(AND(A364&gt;1,MOD(A364-1,12)=0),C363*(1+Simulator!$B$7),C363)</f>
        <v/>
      </c>
      <c r="D364" s="60">
        <f>D363+(Simulator!$B$5+D363*C364/12)/B364</f>
        <v/>
      </c>
      <c r="E364" s="60">
        <f>D364*B364</f>
        <v/>
      </c>
      <c r="F364" s="60">
        <f>D364*C364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Data Keuangan 2021–2025</t>
        </is>
      </c>
    </row>
    <row r="2">
      <c r="A2" s="2" t="inlineStr">
        <is>
          <t>ADRO, PGEO, POWR dilaporkan dalam US$ juta. Lainnya dalam Rp triliun.</t>
        </is>
      </c>
    </row>
    <row r="3"/>
    <row r="4">
      <c r="A4" s="61" t="inlineStr">
        <is>
          <t>BMRI — Bank Mandiri</t>
        </is>
      </c>
    </row>
    <row r="5" ht="20" customHeight="1">
      <c r="A5" s="8" t="inlineStr">
        <is>
          <t>Indikator</t>
        </is>
      </c>
      <c r="B5" s="8" t="inlineStr">
        <is>
          <t>2021</t>
        </is>
      </c>
      <c r="C5" s="8" t="inlineStr">
        <is>
          <t>2022</t>
        </is>
      </c>
      <c r="D5" s="8" t="inlineStr">
        <is>
          <t>2023</t>
        </is>
      </c>
      <c r="E5" s="8" t="inlineStr">
        <is>
          <t>2024</t>
        </is>
      </c>
      <c r="F5" s="8" t="inlineStr">
        <is>
          <t>2025</t>
        </is>
      </c>
      <c r="G5" s="8" t="inlineStr">
        <is>
          <t>TTM</t>
        </is>
      </c>
    </row>
    <row r="6">
      <c r="A6" s="62" t="inlineStr">
        <is>
          <t>Pendapatan (Rp T)</t>
        </is>
      </c>
      <c r="B6" s="63" t="n">
        <v>86.55233200000001</v>
      </c>
      <c r="C6" s="63" t="n">
        <v>109.39753</v>
      </c>
      <c r="D6" s="63" t="n">
        <v>127.454571</v>
      </c>
      <c r="E6" s="63" t="n">
        <v>134.735364</v>
      </c>
      <c r="F6" s="63" t="n">
        <v>144.817483</v>
      </c>
      <c r="G6" s="63" t="n">
        <v>139.872457</v>
      </c>
    </row>
    <row r="7">
      <c r="A7" s="62" t="inlineStr">
        <is>
          <t>Laba bersih (Rp T)</t>
        </is>
      </c>
      <c r="B7" s="63" t="n">
        <v>28.028155</v>
      </c>
      <c r="C7" s="63" t="n">
        <v>41.170637</v>
      </c>
      <c r="D7" s="63" t="n">
        <v>55.060057</v>
      </c>
      <c r="E7" s="63" t="n">
        <v>55.782742</v>
      </c>
      <c r="F7" s="63" t="n">
        <v>56.29395</v>
      </c>
      <c r="G7" s="63" t="n">
        <v>64.097809</v>
      </c>
    </row>
    <row r="8">
      <c r="A8" s="62" t="inlineStr">
        <is>
          <t>EPS (Rp)</t>
        </is>
      </c>
      <c r="B8" s="63" t="n">
        <v>300.53</v>
      </c>
      <c r="C8" s="63" t="n">
        <v>441.26</v>
      </c>
      <c r="D8" s="63" t="n">
        <v>589.9299999999999</v>
      </c>
      <c r="E8" s="63" t="n">
        <v>597.67</v>
      </c>
      <c r="F8" s="63" t="n">
        <v>603.23</v>
      </c>
      <c r="G8" s="63" t="n">
        <v>687.14</v>
      </c>
    </row>
    <row r="9">
      <c r="A9" s="62" t="inlineStr">
        <is>
          <t>DPS (Rp)</t>
        </is>
      </c>
      <c r="B9" s="63" t="inlineStr">
        <is>
          <t>n/a</t>
        </is>
      </c>
      <c r="C9" s="63" t="n">
        <v>180.32</v>
      </c>
      <c r="D9" s="63" t="n">
        <v>264.67</v>
      </c>
      <c r="E9" s="63" t="n">
        <v>353.96</v>
      </c>
      <c r="F9" s="63" t="n">
        <v>466.18</v>
      </c>
      <c r="G9" s="63" t="n">
        <v>476.96</v>
      </c>
    </row>
    <row r="10"/>
    <row r="11">
      <c r="A11" s="61" t="inlineStr">
        <is>
          <t>BBRI — Bank Rakyat Indonesia</t>
        </is>
      </c>
    </row>
    <row r="12" ht="20" customHeight="1">
      <c r="A12" s="8" t="inlineStr">
        <is>
          <t>Indikator</t>
        </is>
      </c>
      <c r="B12" s="8" t="inlineStr">
        <is>
          <t>2021</t>
        </is>
      </c>
      <c r="C12" s="8" t="inlineStr">
        <is>
          <t>2022</t>
        </is>
      </c>
      <c r="D12" s="8" t="inlineStr">
        <is>
          <t>2023</t>
        </is>
      </c>
      <c r="E12" s="8" t="inlineStr">
        <is>
          <t>2024</t>
        </is>
      </c>
      <c r="F12" s="8" t="inlineStr">
        <is>
          <t>2025</t>
        </is>
      </c>
      <c r="G12" s="8" t="inlineStr">
        <is>
          <t>TTM</t>
        </is>
      </c>
    </row>
    <row r="13">
      <c r="A13" s="62" t="inlineStr">
        <is>
          <t>Pendapatan (Rp T)</t>
        </is>
      </c>
      <c r="B13" s="63" t="n">
        <v>111.585403</v>
      </c>
      <c r="C13" s="63" t="n">
        <v>125.990091</v>
      </c>
      <c r="D13" s="63" t="n">
        <v>137.058491</v>
      </c>
      <c r="E13" s="63" t="n">
        <v>131.253634</v>
      </c>
      <c r="F13" s="63" t="n">
        <v>140.208835</v>
      </c>
      <c r="G13" s="63" t="n">
        <v>146.842701</v>
      </c>
    </row>
    <row r="14">
      <c r="A14" s="62" t="inlineStr">
        <is>
          <t>Laba bersih (Rp T)</t>
        </is>
      </c>
      <c r="B14" s="63" t="n">
        <v>31.066592</v>
      </c>
      <c r="C14" s="63" t="n">
        <v>51.170312</v>
      </c>
      <c r="D14" s="63" t="n">
        <v>60.099863</v>
      </c>
      <c r="E14" s="63" t="n">
        <v>59.944649</v>
      </c>
      <c r="F14" s="63" t="n">
        <v>56.652384</v>
      </c>
      <c r="G14" s="63" t="n">
        <v>61.241085</v>
      </c>
    </row>
    <row r="15">
      <c r="A15" s="62" t="inlineStr">
        <is>
          <t>EPS (Rp)</t>
        </is>
      </c>
      <c r="B15" s="63" t="n">
        <v>237.96</v>
      </c>
      <c r="C15" s="63" t="n">
        <v>338</v>
      </c>
      <c r="D15" s="63" t="n">
        <v>398</v>
      </c>
      <c r="E15" s="63" t="n">
        <v>397.69</v>
      </c>
      <c r="F15" s="63" t="n">
        <v>376</v>
      </c>
      <c r="G15" s="63" t="n">
        <v>406.65</v>
      </c>
    </row>
    <row r="16">
      <c r="A16" s="62" t="inlineStr">
        <is>
          <t>DPS (Rp)</t>
        </is>
      </c>
      <c r="B16" s="63" t="inlineStr">
        <is>
          <t>n/a</t>
        </is>
      </c>
      <c r="C16" s="63" t="n">
        <v>174.25</v>
      </c>
      <c r="D16" s="63" t="n">
        <v>288.22</v>
      </c>
      <c r="E16" s="63" t="n">
        <v>319</v>
      </c>
      <c r="F16" s="63" t="n">
        <v>345.4</v>
      </c>
      <c r="G16" s="63" t="n">
        <v>346</v>
      </c>
    </row>
    <row r="17"/>
    <row r="18">
      <c r="A18" s="61" t="inlineStr">
        <is>
          <t>BBCA — Bank Central Asia</t>
        </is>
      </c>
    </row>
    <row r="19" ht="20" customHeight="1">
      <c r="A19" s="8" t="inlineStr">
        <is>
          <t>Indikator</t>
        </is>
      </c>
      <c r="B19" s="8" t="inlineStr">
        <is>
          <t>2021</t>
        </is>
      </c>
      <c r="C19" s="8" t="inlineStr">
        <is>
          <t>2022</t>
        </is>
      </c>
      <c r="D19" s="8" t="inlineStr">
        <is>
          <t>2023</t>
        </is>
      </c>
      <c r="E19" s="8" t="inlineStr">
        <is>
          <t>2024</t>
        </is>
      </c>
      <c r="F19" s="8" t="inlineStr">
        <is>
          <t>2025</t>
        </is>
      </c>
      <c r="G19" s="8" t="inlineStr">
        <is>
          <t>TTM</t>
        </is>
      </c>
    </row>
    <row r="20">
      <c r="A20" s="62" t="inlineStr">
        <is>
          <t>Pendapatan (Rp T)</t>
        </is>
      </c>
      <c r="B20" s="63" t="n">
        <v>69.144054</v>
      </c>
      <c r="C20" s="63" t="n">
        <v>82.942762</v>
      </c>
      <c r="D20" s="63" t="n">
        <v>97.44462799999999</v>
      </c>
      <c r="E20" s="63" t="n">
        <v>104.516601</v>
      </c>
      <c r="F20" s="63" t="n">
        <v>107.985614</v>
      </c>
      <c r="G20" s="63" t="n">
        <v>110.550506</v>
      </c>
    </row>
    <row r="21">
      <c r="A21" s="62" t="inlineStr">
        <is>
          <t>Laba bersih (Rp T)</t>
        </is>
      </c>
      <c r="B21" s="63" t="n">
        <v>31.42266</v>
      </c>
      <c r="C21" s="63" t="n">
        <v>40.735722</v>
      </c>
      <c r="D21" s="63" t="n">
        <v>48.639122</v>
      </c>
      <c r="E21" s="63" t="n">
        <v>54.836305</v>
      </c>
      <c r="F21" s="63" t="n">
        <v>57.537287</v>
      </c>
      <c r="G21" s="63" t="n">
        <v>59.355699</v>
      </c>
    </row>
    <row r="22">
      <c r="A22" s="62" t="inlineStr">
        <is>
          <t>EPS (Rp)</t>
        </is>
      </c>
      <c r="B22" s="63" t="n">
        <v>254.9</v>
      </c>
      <c r="C22" s="63" t="n">
        <v>330</v>
      </c>
      <c r="D22" s="63" t="n">
        <v>394.56</v>
      </c>
      <c r="E22" s="63" t="n">
        <v>444.83</v>
      </c>
      <c r="F22" s="63" t="n">
        <v>466.85</v>
      </c>
      <c r="G22" s="63" t="n">
        <v>482.44</v>
      </c>
    </row>
    <row r="23">
      <c r="A23" s="62" t="inlineStr">
        <is>
          <t>DPS (Rp)</t>
        </is>
      </c>
      <c r="B23" s="63" t="n">
        <v>25</v>
      </c>
      <c r="C23" s="63" t="n">
        <v>155</v>
      </c>
      <c r="D23" s="63" t="n">
        <v>212.5</v>
      </c>
      <c r="E23" s="63" t="n">
        <v>277.5</v>
      </c>
      <c r="F23" s="63" t="n">
        <v>305</v>
      </c>
      <c r="G23" s="63" t="n">
        <v>381</v>
      </c>
    </row>
    <row r="24"/>
    <row r="25">
      <c r="A25" s="61" t="inlineStr">
        <is>
          <t>BJBR — Bank BJB</t>
        </is>
      </c>
    </row>
    <row r="26" ht="20" customHeight="1">
      <c r="A26" s="8" t="inlineStr">
        <is>
          <t>Indikator</t>
        </is>
      </c>
      <c r="B26" s="8" t="inlineStr">
        <is>
          <t>2021</t>
        </is>
      </c>
      <c r="C26" s="8" t="inlineStr">
        <is>
          <t>2022</t>
        </is>
      </c>
      <c r="D26" s="8" t="inlineStr">
        <is>
          <t>2023</t>
        </is>
      </c>
      <c r="E26" s="8" t="inlineStr">
        <is>
          <t>2024</t>
        </is>
      </c>
      <c r="F26" s="8" t="inlineStr">
        <is>
          <t>2025</t>
        </is>
      </c>
      <c r="G26" s="8" t="inlineStr">
        <is>
          <t>TTM</t>
        </is>
      </c>
    </row>
    <row r="27">
      <c r="A27" s="62" t="inlineStr">
        <is>
          <t>Pendapatan (Rp T)</t>
        </is>
      </c>
      <c r="B27" s="63" t="n">
        <v>8.934495</v>
      </c>
      <c r="C27" s="63" t="n">
        <v>9.730881999999999</v>
      </c>
      <c r="D27" s="63" t="n">
        <v>8.216450999999999</v>
      </c>
      <c r="E27" s="63" t="n">
        <v>7.991198</v>
      </c>
      <c r="F27" s="63" t="n">
        <v>9.071730000000001</v>
      </c>
      <c r="G27" s="63" t="n">
        <v>9.283436</v>
      </c>
    </row>
    <row r="28">
      <c r="A28" s="62" t="inlineStr">
        <is>
          <t>Laba bersih (Rp T)</t>
        </is>
      </c>
      <c r="B28" s="63" t="n">
        <v>2.031858</v>
      </c>
      <c r="C28" s="63" t="n">
        <v>2.304376</v>
      </c>
      <c r="D28" s="63" t="n">
        <v>1.778395</v>
      </c>
      <c r="E28" s="63" t="n">
        <v>1.369463</v>
      </c>
      <c r="F28" s="63" t="n">
        <v>1.152816</v>
      </c>
      <c r="G28" s="63" t="n">
        <v>1.442705</v>
      </c>
    </row>
    <row r="29">
      <c r="A29" s="62" t="inlineStr">
        <is>
          <t>EPS (Rp)</t>
        </is>
      </c>
      <c r="B29" s="63" t="n">
        <v>206.52</v>
      </c>
      <c r="C29" s="63" t="n">
        <v>219.02</v>
      </c>
      <c r="D29" s="63" t="n">
        <v>169.03</v>
      </c>
      <c r="E29" s="63" t="n">
        <v>130.16</v>
      </c>
      <c r="F29" s="63" t="n">
        <v>109.57</v>
      </c>
      <c r="G29" s="63" t="n">
        <v>137.12</v>
      </c>
    </row>
    <row r="30">
      <c r="A30" s="62" t="inlineStr">
        <is>
          <t>DPS (Rp)</t>
        </is>
      </c>
      <c r="B30" s="63" t="inlineStr">
        <is>
          <t>n/a</t>
        </is>
      </c>
      <c r="C30" s="63" t="n">
        <v>99.11</v>
      </c>
      <c r="D30" s="63" t="n">
        <v>104.55</v>
      </c>
      <c r="E30" s="63" t="n">
        <v>95.05</v>
      </c>
      <c r="F30" s="63" t="n">
        <v>85.25</v>
      </c>
      <c r="G30" s="63" t="n">
        <v>85.54000000000001</v>
      </c>
    </row>
    <row r="31"/>
    <row r="32">
      <c r="A32" s="61" t="inlineStr">
        <is>
          <t>BJTM — Bank Jatim</t>
        </is>
      </c>
    </row>
    <row r="33" ht="20" customHeight="1">
      <c r="A33" s="8" t="inlineStr">
        <is>
          <t>Indikator</t>
        </is>
      </c>
      <c r="B33" s="8" t="inlineStr">
        <is>
          <t>2021</t>
        </is>
      </c>
      <c r="C33" s="8" t="inlineStr">
        <is>
          <t>2022</t>
        </is>
      </c>
      <c r="D33" s="8" t="inlineStr">
        <is>
          <t>2023</t>
        </is>
      </c>
      <c r="E33" s="8" t="inlineStr">
        <is>
          <t>2024</t>
        </is>
      </c>
      <c r="F33" s="8" t="inlineStr">
        <is>
          <t>2025</t>
        </is>
      </c>
      <c r="G33" s="8" t="inlineStr">
        <is>
          <t>TTM</t>
        </is>
      </c>
    </row>
    <row r="34">
      <c r="A34" s="62" t="inlineStr">
        <is>
          <t>Pendapatan (Rp T)</t>
        </is>
      </c>
      <c r="B34" s="63" t="n">
        <v>4.66892</v>
      </c>
      <c r="C34" s="63" t="n">
        <v>5.053997</v>
      </c>
      <c r="D34" s="63" t="n">
        <v>4.995384</v>
      </c>
      <c r="E34" s="63" t="n">
        <v>5.270241</v>
      </c>
      <c r="F34" s="63" t="n">
        <v>6.342611</v>
      </c>
      <c r="G34" s="63" t="n">
        <v>7.886075</v>
      </c>
    </row>
    <row r="35">
      <c r="A35" s="62" t="inlineStr">
        <is>
          <t>Laba bersih (Rp T)</t>
        </is>
      </c>
      <c r="B35" s="63" t="n">
        <v>1.52307</v>
      </c>
      <c r="C35" s="63" t="n">
        <v>1.542824</v>
      </c>
      <c r="D35" s="63" t="n">
        <v>1.470105</v>
      </c>
      <c r="E35" s="63" t="n">
        <v>1.281718</v>
      </c>
      <c r="F35" s="63" t="n">
        <v>1.545518</v>
      </c>
      <c r="G35" s="63" t="n">
        <v>1.56709</v>
      </c>
    </row>
    <row r="36">
      <c r="A36" s="62" t="inlineStr">
        <is>
          <t>EPS (Rp)</t>
        </is>
      </c>
      <c r="B36" s="63" t="n">
        <v>101.43</v>
      </c>
      <c r="C36" s="63" t="n">
        <v>102.75</v>
      </c>
      <c r="D36" s="63" t="n">
        <v>97.91</v>
      </c>
      <c r="E36" s="63" t="n">
        <v>85.36</v>
      </c>
      <c r="F36" s="63" t="n">
        <v>102.93</v>
      </c>
      <c r="G36" s="63" t="n">
        <v>104.36</v>
      </c>
    </row>
    <row r="37">
      <c r="A37" s="62" t="inlineStr">
        <is>
          <t>DPS (Rp)</t>
        </is>
      </c>
      <c r="B37" s="63" t="inlineStr">
        <is>
          <t>n/a</t>
        </is>
      </c>
      <c r="C37" s="63" t="n">
        <v>52.11</v>
      </c>
      <c r="D37" s="63" t="n">
        <v>53.09</v>
      </c>
      <c r="E37" s="63" t="n">
        <v>54.39</v>
      </c>
      <c r="F37" s="63" t="n">
        <v>54.71</v>
      </c>
      <c r="G37" s="63" t="n">
        <v>56.62</v>
      </c>
    </row>
    <row r="38"/>
    <row r="39">
      <c r="A39" s="61" t="inlineStr">
        <is>
          <t>TLKM — Telkom Indonesia</t>
        </is>
      </c>
    </row>
    <row r="40" ht="20" customHeight="1">
      <c r="A40" s="8" t="inlineStr">
        <is>
          <t>Indikator</t>
        </is>
      </c>
      <c r="B40" s="8" t="inlineStr">
        <is>
          <t>2021</t>
        </is>
      </c>
      <c r="C40" s="8" t="inlineStr">
        <is>
          <t>2022</t>
        </is>
      </c>
      <c r="D40" s="8" t="inlineStr">
        <is>
          <t>2023</t>
        </is>
      </c>
      <c r="E40" s="8" t="inlineStr">
        <is>
          <t>2024</t>
        </is>
      </c>
      <c r="F40" s="8" t="inlineStr">
        <is>
          <t>2025</t>
        </is>
      </c>
      <c r="G40" s="8" t="inlineStr">
        <is>
          <t>TTM</t>
        </is>
      </c>
    </row>
    <row r="41">
      <c r="A41" s="62" t="inlineStr">
        <is>
          <t>Pendapatan (Rp T)</t>
        </is>
      </c>
      <c r="B41" s="63" t="n">
        <v>143.21</v>
      </c>
      <c r="C41" s="63" t="n">
        <v>147.306</v>
      </c>
      <c r="D41" s="63" t="n">
        <v>149.216</v>
      </c>
      <c r="E41" s="63" t="n">
        <v>149.967</v>
      </c>
      <c r="F41" s="63" t="n">
        <v>146.742</v>
      </c>
      <c r="G41" s="63" t="n">
        <v>149.616</v>
      </c>
    </row>
    <row r="42">
      <c r="A42" s="62" t="inlineStr">
        <is>
          <t>Laba bersih (Rp T)</t>
        </is>
      </c>
      <c r="B42" s="63" t="n">
        <v>24.877</v>
      </c>
      <c r="C42" s="63" t="n">
        <v>20.736</v>
      </c>
      <c r="D42" s="63" t="n">
        <v>24.56</v>
      </c>
      <c r="E42" s="63" t="n">
        <v>22.403</v>
      </c>
      <c r="F42" s="63" t="n">
        <v>17.814</v>
      </c>
      <c r="G42" s="63" t="n">
        <v>17.964</v>
      </c>
    </row>
    <row r="43">
      <c r="A43" s="62" t="inlineStr">
        <is>
          <t>EPS (Rp)</t>
        </is>
      </c>
      <c r="B43" s="63" t="n">
        <v>251.13</v>
      </c>
      <c r="C43" s="63" t="n">
        <v>209.32</v>
      </c>
      <c r="D43" s="63" t="n">
        <v>247.92</v>
      </c>
      <c r="E43" s="63" t="n">
        <v>226.15</v>
      </c>
      <c r="F43" s="63" t="n">
        <v>179.83</v>
      </c>
      <c r="G43" s="63" t="n">
        <v>181.57</v>
      </c>
    </row>
    <row r="44">
      <c r="A44" s="62" t="inlineStr">
        <is>
          <t>DPS (Rp)</t>
        </is>
      </c>
      <c r="B44" s="63" t="inlineStr">
        <is>
          <t>n/a</t>
        </is>
      </c>
      <c r="C44" s="63" t="n">
        <v>149.97</v>
      </c>
      <c r="D44" s="63" t="n">
        <v>167.6</v>
      </c>
      <c r="E44" s="63" t="n">
        <v>178.5</v>
      </c>
      <c r="F44" s="63" t="n">
        <v>212.47</v>
      </c>
      <c r="G44" s="63" t="n">
        <v>223.17</v>
      </c>
    </row>
    <row r="45"/>
    <row r="46">
      <c r="A46" s="61" t="inlineStr">
        <is>
          <t>HMSP — HM Sampoerna</t>
        </is>
      </c>
    </row>
    <row r="47" ht="20" customHeight="1">
      <c r="A47" s="8" t="inlineStr">
        <is>
          <t>Indikator</t>
        </is>
      </c>
      <c r="B47" s="8" t="inlineStr">
        <is>
          <t>2021</t>
        </is>
      </c>
      <c r="C47" s="8" t="inlineStr">
        <is>
          <t>2022</t>
        </is>
      </c>
      <c r="D47" s="8" t="inlineStr">
        <is>
          <t>2023</t>
        </is>
      </c>
      <c r="E47" s="8" t="inlineStr">
        <is>
          <t>2024</t>
        </is>
      </c>
      <c r="F47" s="8" t="inlineStr">
        <is>
          <t>2025</t>
        </is>
      </c>
      <c r="G47" s="8" t="inlineStr">
        <is>
          <t>TTM</t>
        </is>
      </c>
    </row>
    <row r="48">
      <c r="A48" s="62" t="inlineStr">
        <is>
          <t>Pendapatan (Rp T)</t>
        </is>
      </c>
      <c r="B48" s="63" t="n">
        <v>41.512611</v>
      </c>
      <c r="C48" s="63" t="n">
        <v>45.616356</v>
      </c>
      <c r="D48" s="63" t="n">
        <v>53.106365</v>
      </c>
      <c r="E48" s="63" t="n">
        <v>53.604073</v>
      </c>
      <c r="F48" s="63" t="n">
        <v>48.532559</v>
      </c>
      <c r="G48" s="63" t="n">
        <v>52.301117</v>
      </c>
    </row>
    <row r="49">
      <c r="A49" s="62" t="inlineStr">
        <is>
          <t>Laba bersih (Rp T)</t>
        </is>
      </c>
      <c r="B49" s="63" t="n">
        <v>7.137097</v>
      </c>
      <c r="C49" s="63" t="n">
        <v>6.323744</v>
      </c>
      <c r="D49" s="63" t="n">
        <v>8.096811000000001</v>
      </c>
      <c r="E49" s="63" t="n">
        <v>6.645774</v>
      </c>
      <c r="F49" s="63" t="n">
        <v>6.609456</v>
      </c>
      <c r="G49" s="63" t="n">
        <v>8.613279</v>
      </c>
    </row>
    <row r="50">
      <c r="A50" s="62" t="inlineStr">
        <is>
          <t>EPS (Rp)</t>
        </is>
      </c>
      <c r="B50" s="63" t="n">
        <v>61.36</v>
      </c>
      <c r="C50" s="63" t="n">
        <v>54.37</v>
      </c>
      <c r="D50" s="63" t="n">
        <v>69.61</v>
      </c>
      <c r="E50" s="63" t="n">
        <v>57.13</v>
      </c>
      <c r="F50" s="63" t="n">
        <v>56.82</v>
      </c>
      <c r="G50" s="63" t="n">
        <v>73.73</v>
      </c>
    </row>
    <row r="51">
      <c r="A51" s="62" t="inlineStr">
        <is>
          <t>DPS (Rp)</t>
        </is>
      </c>
      <c r="B51" s="63" t="n">
        <v>72.8</v>
      </c>
      <c r="C51" s="63" t="n">
        <v>63.3</v>
      </c>
      <c r="D51" s="63" t="n">
        <v>54.7</v>
      </c>
      <c r="E51" s="63" t="n">
        <v>69.3</v>
      </c>
      <c r="F51" s="63" t="n">
        <v>56.2</v>
      </c>
      <c r="G51" s="63" t="n">
        <v>56.3</v>
      </c>
    </row>
    <row r="52"/>
    <row r="53">
      <c r="A53" s="61" t="inlineStr">
        <is>
          <t>CLEO — Sariguna Primatirta</t>
        </is>
      </c>
    </row>
    <row r="54" ht="20" customHeight="1">
      <c r="A54" s="8" t="inlineStr">
        <is>
          <t>Indikator</t>
        </is>
      </c>
      <c r="B54" s="8" t="inlineStr">
        <is>
          <t>2021</t>
        </is>
      </c>
      <c r="C54" s="8" t="inlineStr">
        <is>
          <t>2022</t>
        </is>
      </c>
      <c r="D54" s="8" t="inlineStr">
        <is>
          <t>2023</t>
        </is>
      </c>
      <c r="E54" s="8" t="inlineStr">
        <is>
          <t>2024</t>
        </is>
      </c>
      <c r="F54" s="8" t="inlineStr">
        <is>
          <t>2025</t>
        </is>
      </c>
      <c r="G54" s="8" t="inlineStr">
        <is>
          <t>TTM</t>
        </is>
      </c>
    </row>
    <row r="55">
      <c r="A55" s="62" t="inlineStr">
        <is>
          <t>Pendapatan (Rp T)</t>
        </is>
      </c>
      <c r="B55" s="63" t="n">
        <v>1.10352</v>
      </c>
      <c r="C55" s="63" t="n">
        <v>1.674054</v>
      </c>
      <c r="D55" s="63" t="n">
        <v>2.090116</v>
      </c>
      <c r="E55" s="63" t="n">
        <v>2.696814</v>
      </c>
      <c r="F55" s="63" t="n">
        <v>2.825631</v>
      </c>
      <c r="G55" s="63" t="n">
        <v>3.150473</v>
      </c>
    </row>
    <row r="56">
      <c r="A56" s="62" t="inlineStr">
        <is>
          <t>Laba bersih (Rp T)</t>
        </is>
      </c>
      <c r="B56" s="63" t="n">
        <v>0.180712</v>
      </c>
      <c r="C56" s="63" t="n">
        <v>0.195466</v>
      </c>
      <c r="D56" s="63" t="n">
        <v>0.323991</v>
      </c>
      <c r="E56" s="63" t="n">
        <v>0.465157</v>
      </c>
      <c r="F56" s="63" t="n">
        <v>0.381821</v>
      </c>
      <c r="G56" s="63" t="n">
        <v>0.430099</v>
      </c>
    </row>
    <row r="57">
      <c r="A57" s="62" t="inlineStr">
        <is>
          <t>EPS (Rp)</t>
        </is>
      </c>
      <c r="B57" s="63" t="n">
        <v>7.53</v>
      </c>
      <c r="C57" s="63" t="n">
        <v>8</v>
      </c>
      <c r="D57" s="63" t="n">
        <v>13.54</v>
      </c>
      <c r="E57" s="63" t="n">
        <v>19.45</v>
      </c>
      <c r="F57" s="63" t="n">
        <v>15.91</v>
      </c>
      <c r="G57" s="63" t="n">
        <v>17.92</v>
      </c>
    </row>
    <row r="58">
      <c r="A58" s="62" t="inlineStr">
        <is>
          <t>DPS (Rp)</t>
        </is>
      </c>
      <c r="B58" s="63" t="n">
        <v>1.25</v>
      </c>
      <c r="C58" s="63" t="n">
        <v>0.5</v>
      </c>
      <c r="D58" s="63" t="n">
        <v>0.825</v>
      </c>
      <c r="E58" s="63" t="n">
        <v>2.525</v>
      </c>
      <c r="F58" s="63" t="n">
        <v>5</v>
      </c>
      <c r="G58" s="63" t="n">
        <v>2.5</v>
      </c>
    </row>
    <row r="59"/>
    <row r="60">
      <c r="A60" s="61" t="inlineStr">
        <is>
          <t>ADRO — Alamtri Resources</t>
        </is>
      </c>
    </row>
    <row r="61" ht="20" customHeight="1">
      <c r="A61" s="8" t="inlineStr">
        <is>
          <t>Indikator</t>
        </is>
      </c>
      <c r="B61" s="8" t="inlineStr">
        <is>
          <t>2021</t>
        </is>
      </c>
      <c r="C61" s="8" t="inlineStr">
        <is>
          <t>2022</t>
        </is>
      </c>
      <c r="D61" s="8" t="inlineStr">
        <is>
          <t>2023</t>
        </is>
      </c>
      <c r="E61" s="8" t="inlineStr">
        <is>
          <t>2024</t>
        </is>
      </c>
      <c r="F61" s="8" t="inlineStr">
        <is>
          <t>2025</t>
        </is>
      </c>
      <c r="G61" s="8" t="inlineStr">
        <is>
          <t>TTM</t>
        </is>
      </c>
    </row>
    <row r="62">
      <c r="A62" s="62" t="inlineStr">
        <is>
          <t>Pendapatan (US$ jt)</t>
        </is>
      </c>
      <c r="B62" s="63" t="n">
        <v>3993</v>
      </c>
      <c r="C62" s="63" t="n">
        <v>8102</v>
      </c>
      <c r="D62" s="63" t="n">
        <v>2135</v>
      </c>
      <c r="E62" s="63" t="n">
        <v>2079</v>
      </c>
      <c r="F62" s="63" t="n">
        <v>1874</v>
      </c>
      <c r="G62" s="63" t="inlineStr">
        <is>
          <t>n/a</t>
        </is>
      </c>
    </row>
    <row r="63">
      <c r="A63" s="62" t="inlineStr">
        <is>
          <t>Laba bersih (US$ jt)</t>
        </is>
      </c>
      <c r="B63" s="63" t="n">
        <v>933.49</v>
      </c>
      <c r="C63" s="63" t="n">
        <v>2493</v>
      </c>
      <c r="D63" s="63" t="n">
        <v>1641</v>
      </c>
      <c r="E63" s="63" t="n">
        <v>1380</v>
      </c>
      <c r="F63" s="63" t="n">
        <v>447.69</v>
      </c>
      <c r="G63" s="63" t="n">
        <v>582.12</v>
      </c>
    </row>
    <row r="64">
      <c r="A64" s="62" t="inlineStr">
        <is>
          <t>EPS (Rp)</t>
        </is>
      </c>
      <c r="B64" s="63" t="inlineStr">
        <is>
          <t>n/a</t>
        </is>
      </c>
      <c r="C64" s="63" t="inlineStr">
        <is>
          <t>n/a</t>
        </is>
      </c>
      <c r="D64" s="63" t="inlineStr">
        <is>
          <t>n/a</t>
        </is>
      </c>
      <c r="E64" s="63" t="inlineStr">
        <is>
          <t>n/a</t>
        </is>
      </c>
      <c r="F64" s="63" t="inlineStr">
        <is>
          <t>n/a</t>
        </is>
      </c>
      <c r="G64" s="63" t="n">
        <v>361.18</v>
      </c>
    </row>
    <row r="65">
      <c r="A65" s="62" t="inlineStr">
        <is>
          <t>DPS (Rp)</t>
        </is>
      </c>
      <c r="B65" s="63" t="n">
        <v>226.44</v>
      </c>
      <c r="C65" s="63" t="n">
        <v>141.39</v>
      </c>
      <c r="D65" s="63" t="n">
        <v>692.04</v>
      </c>
      <c r="E65" s="63" t="n">
        <v>1674.33</v>
      </c>
      <c r="F65" s="63" t="n">
        <v>311.83</v>
      </c>
      <c r="G65" s="63" t="n">
        <v>263.4</v>
      </c>
    </row>
    <row r="66"/>
    <row r="67">
      <c r="A67" s="61" t="inlineStr">
        <is>
          <t>PTBA — Bukit Asam</t>
        </is>
      </c>
    </row>
    <row r="68" ht="20" customHeight="1">
      <c r="A68" s="8" t="inlineStr">
        <is>
          <t>Indikator</t>
        </is>
      </c>
      <c r="B68" s="8" t="inlineStr">
        <is>
          <t>2021</t>
        </is>
      </c>
      <c r="C68" s="8" t="inlineStr">
        <is>
          <t>2022</t>
        </is>
      </c>
      <c r="D68" s="8" t="inlineStr">
        <is>
          <t>2023</t>
        </is>
      </c>
      <c r="E68" s="8" t="inlineStr">
        <is>
          <t>2024</t>
        </is>
      </c>
      <c r="F68" s="8" t="inlineStr">
        <is>
          <t>2025</t>
        </is>
      </c>
      <c r="G68" s="8" t="inlineStr">
        <is>
          <t>TTM</t>
        </is>
      </c>
    </row>
    <row r="69">
      <c r="A69" s="62" t="inlineStr">
        <is>
          <t>Pendapatan (Rp T)</t>
        </is>
      </c>
      <c r="B69" s="63" t="n">
        <v>29.261468</v>
      </c>
      <c r="C69" s="63" t="n">
        <v>42.64859</v>
      </c>
      <c r="D69" s="63" t="n">
        <v>38.488867</v>
      </c>
      <c r="E69" s="63" t="n">
        <v>42.764968</v>
      </c>
      <c r="F69" s="63" t="n">
        <v>42.651724</v>
      </c>
      <c r="G69" s="63" t="n">
        <v>44.227234</v>
      </c>
    </row>
    <row r="70">
      <c r="A70" s="62" t="inlineStr">
        <is>
          <t>Laba bersih (Rp T)</t>
        </is>
      </c>
      <c r="B70" s="63" t="n">
        <v>7.909113</v>
      </c>
      <c r="C70" s="63" t="n">
        <v>12.567582</v>
      </c>
      <c r="D70" s="63" t="n">
        <v>6.105856</v>
      </c>
      <c r="E70" s="63" t="n">
        <v>5.10372</v>
      </c>
      <c r="F70" s="63" t="n">
        <v>2.929957</v>
      </c>
      <c r="G70" s="63" t="n">
        <v>4.746812</v>
      </c>
    </row>
    <row r="71">
      <c r="A71" s="62" t="inlineStr">
        <is>
          <t>EPS (Rp)</t>
        </is>
      </c>
      <c r="B71" s="63" t="n">
        <v>701.91</v>
      </c>
      <c r="C71" s="63" t="n">
        <v>1094</v>
      </c>
      <c r="D71" s="63" t="n">
        <v>531.54</v>
      </c>
      <c r="E71" s="63" t="n">
        <v>443.51</v>
      </c>
      <c r="F71" s="63" t="n">
        <v>254</v>
      </c>
      <c r="G71" s="63" t="n">
        <v>411.7</v>
      </c>
    </row>
    <row r="72">
      <c r="A72" s="62" t="inlineStr">
        <is>
          <t>DPS (Rp)</t>
        </is>
      </c>
      <c r="B72" s="63" t="inlineStr">
        <is>
          <t>n/a</t>
        </is>
      </c>
      <c r="C72" s="63" t="n">
        <v>688.52</v>
      </c>
      <c r="D72" s="63" t="n">
        <v>1094.05</v>
      </c>
      <c r="E72" s="63" t="n">
        <v>397.71</v>
      </c>
      <c r="F72" s="63" t="n">
        <v>332.44</v>
      </c>
      <c r="G72" s="63" t="n">
        <v>114.51</v>
      </c>
    </row>
    <row r="73"/>
    <row r="74">
      <c r="A74" s="61" t="inlineStr">
        <is>
          <t>PGEO — Pertamina Geothermal</t>
        </is>
      </c>
    </row>
    <row r="75" ht="20" customHeight="1">
      <c r="A75" s="8" t="inlineStr">
        <is>
          <t>Indikator</t>
        </is>
      </c>
      <c r="B75" s="8" t="inlineStr">
        <is>
          <t>2021</t>
        </is>
      </c>
      <c r="C75" s="8" t="inlineStr">
        <is>
          <t>2022</t>
        </is>
      </c>
      <c r="D75" s="8" t="inlineStr">
        <is>
          <t>2023</t>
        </is>
      </c>
      <c r="E75" s="8" t="inlineStr">
        <is>
          <t>2024</t>
        </is>
      </c>
      <c r="F75" s="8" t="inlineStr">
        <is>
          <t>2025</t>
        </is>
      </c>
      <c r="G75" s="8" t="inlineStr">
        <is>
          <t>TTM</t>
        </is>
      </c>
    </row>
    <row r="76">
      <c r="A76" s="62" t="inlineStr">
        <is>
          <t>Pendapatan (US$ jt)</t>
        </is>
      </c>
      <c r="B76" s="63" t="n">
        <v>368.82</v>
      </c>
      <c r="C76" s="63" t="n">
        <v>386.07</v>
      </c>
      <c r="D76" s="63" t="n">
        <v>406.29</v>
      </c>
      <c r="E76" s="63" t="n">
        <v>407.12</v>
      </c>
      <c r="F76" s="63" t="n">
        <v>432.73</v>
      </c>
      <c r="G76" s="63" t="inlineStr">
        <is>
          <t>n/a</t>
        </is>
      </c>
    </row>
    <row r="77">
      <c r="A77" s="62" t="inlineStr">
        <is>
          <t>Laba bersih (US$ jt)</t>
        </is>
      </c>
      <c r="B77" s="63" t="n">
        <v>85.08</v>
      </c>
      <c r="C77" s="63" t="n">
        <v>127.34</v>
      </c>
      <c r="D77" s="63" t="n">
        <v>163.59</v>
      </c>
      <c r="E77" s="63" t="n">
        <v>160.49</v>
      </c>
      <c r="F77" s="63" t="n">
        <v>137.7</v>
      </c>
      <c r="G77" s="63" t="n">
        <v>148.36</v>
      </c>
    </row>
    <row r="78">
      <c r="A78" s="62" t="inlineStr">
        <is>
          <t>EPS (Rp)</t>
        </is>
      </c>
      <c r="B78" s="63" t="inlineStr">
        <is>
          <t>n/a</t>
        </is>
      </c>
      <c r="C78" s="63" t="inlineStr">
        <is>
          <t>n/a</t>
        </is>
      </c>
      <c r="D78" s="63" t="inlineStr">
        <is>
          <t>n/a</t>
        </is>
      </c>
      <c r="E78" s="63" t="inlineStr">
        <is>
          <t>n/a</t>
        </is>
      </c>
      <c r="F78" s="63" t="inlineStr">
        <is>
          <t>n/a</t>
        </is>
      </c>
      <c r="G78" s="63" t="n">
        <v>63.17</v>
      </c>
    </row>
    <row r="79">
      <c r="A79" s="62" t="inlineStr">
        <is>
          <t>DPS (Rp)</t>
        </is>
      </c>
      <c r="B79" s="63" t="inlineStr">
        <is>
          <t>n/a</t>
        </is>
      </c>
      <c r="C79" s="63" t="inlineStr">
        <is>
          <t>n/a</t>
        </is>
      </c>
      <c r="D79" s="63" t="n">
        <v>10.87</v>
      </c>
      <c r="E79" s="63" t="n">
        <v>47.77</v>
      </c>
      <c r="F79" s="63" t="n">
        <v>53.09</v>
      </c>
      <c r="G79" s="63" t="n">
        <v>49.44</v>
      </c>
    </row>
    <row r="80"/>
    <row r="81">
      <c r="A81" s="61" t="inlineStr">
        <is>
          <t>POWR — Cikarang Listrindo</t>
        </is>
      </c>
    </row>
    <row r="82" ht="20" customHeight="1">
      <c r="A82" s="8" t="inlineStr">
        <is>
          <t>Indikator</t>
        </is>
      </c>
      <c r="B82" s="8" t="inlineStr">
        <is>
          <t>2021</t>
        </is>
      </c>
      <c r="C82" s="8" t="inlineStr">
        <is>
          <t>2022</t>
        </is>
      </c>
      <c r="D82" s="8" t="inlineStr">
        <is>
          <t>2023</t>
        </is>
      </c>
      <c r="E82" s="8" t="inlineStr">
        <is>
          <t>2024</t>
        </is>
      </c>
      <c r="F82" s="8" t="inlineStr">
        <is>
          <t>2025</t>
        </is>
      </c>
      <c r="G82" s="8" t="inlineStr">
        <is>
          <t>TTM</t>
        </is>
      </c>
    </row>
    <row r="83">
      <c r="A83" s="62" t="inlineStr">
        <is>
          <t>Pendapatan (US$ jt)</t>
        </is>
      </c>
      <c r="B83" s="63" t="n">
        <v>514.85</v>
      </c>
      <c r="C83" s="63" t="n">
        <v>550.45</v>
      </c>
      <c r="D83" s="63" t="n">
        <v>546.08</v>
      </c>
      <c r="E83" s="63" t="n">
        <v>547.02</v>
      </c>
      <c r="F83" s="63" t="n">
        <v>553.5</v>
      </c>
      <c r="G83" s="63" t="inlineStr">
        <is>
          <t>n/a</t>
        </is>
      </c>
    </row>
    <row r="84">
      <c r="A84" s="62" t="inlineStr">
        <is>
          <t>Laba bersih (US$ jt)</t>
        </is>
      </c>
      <c r="B84" s="63" t="n">
        <v>90.44</v>
      </c>
      <c r="C84" s="63" t="n">
        <v>72.54000000000001</v>
      </c>
      <c r="D84" s="63" t="n">
        <v>76.98</v>
      </c>
      <c r="E84" s="63" t="n">
        <v>75.34</v>
      </c>
      <c r="F84" s="63" t="n">
        <v>72.06</v>
      </c>
      <c r="G84" s="63" t="n">
        <v>69.55</v>
      </c>
    </row>
    <row r="85">
      <c r="A85" s="62" t="inlineStr">
        <is>
          <t>EPS (Rp)</t>
        </is>
      </c>
      <c r="B85" s="63" t="inlineStr">
        <is>
          <t>n/a</t>
        </is>
      </c>
      <c r="C85" s="63" t="inlineStr">
        <is>
          <t>n/a</t>
        </is>
      </c>
      <c r="D85" s="63" t="inlineStr">
        <is>
          <t>n/a</t>
        </is>
      </c>
      <c r="E85" s="63" t="inlineStr">
        <is>
          <t>n/a</t>
        </is>
      </c>
      <c r="F85" s="63" t="inlineStr">
        <is>
          <t>n/a</t>
        </is>
      </c>
      <c r="G85" s="63" t="n">
        <v>78.53</v>
      </c>
    </row>
    <row r="86">
      <c r="A86" s="62" t="inlineStr">
        <is>
          <t>DPS (Rp)</t>
        </is>
      </c>
      <c r="B86" s="63" t="inlineStr">
        <is>
          <t>n/a</t>
        </is>
      </c>
      <c r="C86" s="63" t="inlineStr">
        <is>
          <t>n/a</t>
        </is>
      </c>
      <c r="D86" s="63" t="inlineStr">
        <is>
          <t>n/a</t>
        </is>
      </c>
      <c r="E86" s="63" t="n">
        <v>72.16</v>
      </c>
      <c r="F86" s="63" t="n">
        <v>69.79000000000001</v>
      </c>
      <c r="G86" s="63" t="n">
        <v>73.73999999999999</v>
      </c>
    </row>
    <row r="87"/>
    <row r="88">
      <c r="A88" s="61" t="inlineStr">
        <is>
          <t>IPCC — Indonesia Kendaraan Terminal</t>
        </is>
      </c>
    </row>
    <row r="89" ht="20" customHeight="1">
      <c r="A89" s="8" t="inlineStr">
        <is>
          <t>Indikator</t>
        </is>
      </c>
      <c r="B89" s="8" t="inlineStr">
        <is>
          <t>2021</t>
        </is>
      </c>
      <c r="C89" s="8" t="inlineStr">
        <is>
          <t>2022</t>
        </is>
      </c>
      <c r="D89" s="8" t="inlineStr">
        <is>
          <t>2023</t>
        </is>
      </c>
      <c r="E89" s="8" t="inlineStr">
        <is>
          <t>2024</t>
        </is>
      </c>
      <c r="F89" s="8" t="inlineStr">
        <is>
          <t>2025</t>
        </is>
      </c>
      <c r="G89" s="8" t="inlineStr">
        <is>
          <t>TTM</t>
        </is>
      </c>
    </row>
    <row r="90">
      <c r="A90" s="62" t="inlineStr">
        <is>
          <t>Pendapatan (Rp T)</t>
        </is>
      </c>
      <c r="B90" s="63" t="n">
        <v>0.516837</v>
      </c>
      <c r="C90" s="63" t="n">
        <v>0.726573</v>
      </c>
      <c r="D90" s="63" t="n">
        <v>0.735205</v>
      </c>
      <c r="E90" s="63" t="n">
        <v>0.824596</v>
      </c>
      <c r="F90" s="63" t="n">
        <v>0.92996</v>
      </c>
      <c r="G90" s="63" t="n">
        <v>0.927911</v>
      </c>
    </row>
    <row r="91">
      <c r="A91" s="62" t="inlineStr">
        <is>
          <t>Laba bersih (Rp T)</t>
        </is>
      </c>
      <c r="B91" s="63" t="n">
        <v>0.060056</v>
      </c>
      <c r="C91" s="63" t="n">
        <v>0.161725</v>
      </c>
      <c r="D91" s="63" t="n">
        <v>0.190855</v>
      </c>
      <c r="E91" s="63" t="n">
        <v>0.212216</v>
      </c>
      <c r="F91" s="63" t="n">
        <v>0.256513</v>
      </c>
      <c r="G91" s="63" t="n">
        <v>0.245949</v>
      </c>
    </row>
    <row r="92">
      <c r="A92" s="62" t="inlineStr">
        <is>
          <t>EPS (Rp)</t>
        </is>
      </c>
      <c r="B92" s="63" t="n">
        <v>33.03</v>
      </c>
      <c r="C92" s="63" t="n">
        <v>88.94</v>
      </c>
      <c r="D92" s="63" t="n">
        <v>104.96</v>
      </c>
      <c r="E92" s="63" t="n">
        <v>116.71</v>
      </c>
      <c r="F92" s="63" t="n">
        <v>141.07</v>
      </c>
      <c r="G92" s="63" t="n">
        <v>135.26</v>
      </c>
    </row>
    <row r="93">
      <c r="A93" s="62" t="inlineStr">
        <is>
          <t>DPS (Rp)</t>
        </is>
      </c>
      <c r="B93" s="63" t="inlineStr">
        <is>
          <t>n/a</t>
        </is>
      </c>
      <c r="C93" s="63" t="n">
        <v>35.61</v>
      </c>
      <c r="D93" s="63" t="n">
        <v>71.47</v>
      </c>
      <c r="E93" s="63" t="n">
        <v>86.81</v>
      </c>
      <c r="F93" s="63" t="n">
        <v>95.11</v>
      </c>
      <c r="G93" s="63" t="n">
        <v>112.85</v>
      </c>
    </row>
    <row r="94"/>
    <row r="95">
      <c r="A95" s="61" t="inlineStr">
        <is>
          <t>TUGU — Asuransi Tugu Pratama</t>
        </is>
      </c>
    </row>
    <row r="96" ht="20" customHeight="1">
      <c r="A96" s="8" t="inlineStr">
        <is>
          <t>Indikator</t>
        </is>
      </c>
      <c r="B96" s="8" t="inlineStr">
        <is>
          <t>2021</t>
        </is>
      </c>
      <c r="C96" s="8" t="inlineStr">
        <is>
          <t>2022</t>
        </is>
      </c>
      <c r="D96" s="8" t="inlineStr">
        <is>
          <t>2023</t>
        </is>
      </c>
      <c r="E96" s="8" t="inlineStr">
        <is>
          <t>2024</t>
        </is>
      </c>
      <c r="F96" s="8" t="inlineStr">
        <is>
          <t>2025</t>
        </is>
      </c>
      <c r="G96" s="8" t="inlineStr">
        <is>
          <t>TTM</t>
        </is>
      </c>
    </row>
    <row r="97">
      <c r="A97" s="62" t="inlineStr">
        <is>
          <t>Pendapatan (Rp T)</t>
        </is>
      </c>
      <c r="B97" s="63" t="n">
        <v>2.697843</v>
      </c>
      <c r="C97" s="63" t="n">
        <v>3.031496</v>
      </c>
      <c r="D97" s="63" t="n">
        <v>3.464139</v>
      </c>
      <c r="E97" s="63" t="n">
        <v>4.115663</v>
      </c>
      <c r="F97" s="63" t="n">
        <v>5.761146</v>
      </c>
      <c r="G97" s="63" t="n">
        <v>5.75154</v>
      </c>
    </row>
    <row r="98">
      <c r="A98" s="62" t="inlineStr">
        <is>
          <t>Laba bersih (Rp T)</t>
        </is>
      </c>
      <c r="B98" s="63" t="n">
        <v>0.31648</v>
      </c>
      <c r="C98" s="63" t="n">
        <v>0.347151</v>
      </c>
      <c r="D98" s="63" t="n">
        <v>1.322394</v>
      </c>
      <c r="E98" s="63" t="n">
        <v>0.401575</v>
      </c>
      <c r="F98" s="63" t="n">
        <v>0.7110570000000001</v>
      </c>
      <c r="G98" s="63" t="n">
        <v>0.919788</v>
      </c>
    </row>
    <row r="99">
      <c r="A99" s="62" t="inlineStr">
        <is>
          <t>EPS (Rp)</t>
        </is>
      </c>
      <c r="B99" s="63" t="n">
        <v>89.01000000000001</v>
      </c>
      <c r="C99" s="63" t="n">
        <v>97.64</v>
      </c>
      <c r="D99" s="63" t="n">
        <v>371.92</v>
      </c>
      <c r="E99" s="63" t="n">
        <v>112.94</v>
      </c>
      <c r="F99" s="63" t="n">
        <v>199.98</v>
      </c>
      <c r="G99" s="63" t="n">
        <v>258.69</v>
      </c>
    </row>
    <row r="100">
      <c r="A100" s="62" t="inlineStr">
        <is>
          <t>DPS (Rp)</t>
        </is>
      </c>
      <c r="B100" s="63" t="n">
        <v>26.1</v>
      </c>
      <c r="C100" s="63" t="n">
        <v>35.6</v>
      </c>
      <c r="D100" s="63" t="n">
        <v>64.56</v>
      </c>
      <c r="E100" s="63" t="n">
        <v>123.26</v>
      </c>
      <c r="F100" s="63" t="n">
        <v>78.84999999999999</v>
      </c>
      <c r="G100" s="63" t="n">
        <v>99.98999999999999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10" customWidth="1" min="12" max="12"/>
    <col width="8" customWidth="1" min="13" max="13"/>
    <col width="8" customWidth="1" min="14" max="14"/>
  </cols>
  <sheetData>
    <row r="1">
      <c r="A1" s="1" t="inlineStr">
        <is>
          <t>Level Teknikal</t>
        </is>
      </c>
    </row>
    <row r="2">
      <c r="A2" s="2" t="inlineStr">
        <is>
          <t>Dihitung dari 50 sesi harian (11 Agu – 21 Okt 2026). MA100 tidak tersedia.</t>
        </is>
      </c>
    </row>
    <row r="4" ht="28" customHeight="1">
      <c r="A4" s="8" t="inlineStr">
        <is>
          <t>Kode</t>
        </is>
      </c>
      <c r="B4" s="8" t="inlineStr">
        <is>
          <t>Harga</t>
        </is>
      </c>
      <c r="C4" s="8" t="inlineStr">
        <is>
          <t>MA20</t>
        </is>
      </c>
      <c r="D4" s="8" t="inlineStr">
        <is>
          <t>vs MA20</t>
        </is>
      </c>
      <c r="E4" s="8" t="inlineStr">
        <is>
          <t>MA50</t>
        </is>
      </c>
      <c r="F4" s="8" t="inlineStr">
        <is>
          <t>vs MA50</t>
        </is>
      </c>
      <c r="G4" s="8" t="inlineStr">
        <is>
          <t>MA200</t>
        </is>
      </c>
      <c r="H4" s="8" t="inlineStr">
        <is>
          <t>vs MA200</t>
        </is>
      </c>
      <c r="I4" s="8" t="inlineStr">
        <is>
          <t>RSI 14</t>
        </is>
      </c>
      <c r="J4" s="8" t="inlineStr">
        <is>
          <t>MACD</t>
        </is>
      </c>
      <c r="K4" s="8" t="inlineStr">
        <is>
          <t>Signal</t>
        </is>
      </c>
      <c r="L4" s="8" t="inlineStr">
        <is>
          <t>Histogram</t>
        </is>
      </c>
      <c r="M4" s="8" t="inlineStr">
        <is>
          <t>ATR</t>
        </is>
      </c>
      <c r="N4" s="8" t="inlineStr">
        <is>
          <t>ATR %</t>
        </is>
      </c>
    </row>
    <row r="5">
      <c r="A5" s="40" t="inlineStr">
        <is>
          <t>BMRI</t>
        </is>
      </c>
      <c r="B5" s="41" t="n">
        <v>3700</v>
      </c>
      <c r="C5" s="41" t="n">
        <v>3933.5</v>
      </c>
      <c r="D5" s="43" t="n">
        <v>-0.0593618914452777</v>
      </c>
      <c r="E5" s="41" t="n">
        <v>4131.78</v>
      </c>
      <c r="F5" s="43" t="n">
        <v>-0.1045021758176863</v>
      </c>
      <c r="G5" s="41" t="n">
        <v>4436.83</v>
      </c>
      <c r="H5" s="43" t="n">
        <v>-0.1660712716060792</v>
      </c>
      <c r="I5" s="64" t="n">
        <v>39.1</v>
      </c>
      <c r="J5" s="65" t="n">
        <v>-154.48</v>
      </c>
      <c r="K5" s="65" t="n">
        <v>-117.04</v>
      </c>
      <c r="L5" s="65" t="n">
        <v>-37.44</v>
      </c>
      <c r="M5" s="41" t="n">
        <v>97.69</v>
      </c>
      <c r="N5" s="43" t="n">
        <v>0.0264</v>
      </c>
    </row>
    <row r="6">
      <c r="A6" s="40" t="inlineStr">
        <is>
          <t>BBRI</t>
        </is>
      </c>
      <c r="B6" s="41" t="n">
        <v>2810</v>
      </c>
      <c r="C6" s="41" t="n">
        <v>3029</v>
      </c>
      <c r="D6" s="43" t="n">
        <v>-0.07230108946847147</v>
      </c>
      <c r="E6" s="41" t="n">
        <v>3170</v>
      </c>
      <c r="F6" s="43" t="n">
        <v>-0.1135646687697161</v>
      </c>
      <c r="G6" s="41" t="n">
        <v>3264</v>
      </c>
      <c r="H6" s="43" t="n">
        <v>-0.1390931372549019</v>
      </c>
      <c r="I6" s="64" t="n">
        <v>39.4</v>
      </c>
      <c r="J6" s="65" t="n">
        <v>-121.22</v>
      </c>
      <c r="K6" s="65" t="n">
        <v>-85.8</v>
      </c>
      <c r="L6" s="65" t="n">
        <v>-35.42</v>
      </c>
      <c r="M6" s="41" t="n">
        <v>88.45999999999999</v>
      </c>
      <c r="N6" s="43" t="n">
        <v>0.0315</v>
      </c>
    </row>
    <row r="7">
      <c r="A7" s="40" t="inlineStr">
        <is>
          <t>BBCA</t>
        </is>
      </c>
      <c r="B7" s="41" t="n">
        <v>5275</v>
      </c>
      <c r="C7" s="41" t="n">
        <v>5898.5</v>
      </c>
      <c r="D7" s="43" t="n">
        <v>-0.1057048402136136</v>
      </c>
      <c r="E7" s="41" t="n">
        <v>6203.22</v>
      </c>
      <c r="F7" s="43" t="n">
        <v>-0.149635189466116</v>
      </c>
      <c r="G7" s="41" t="n">
        <v>6515.68</v>
      </c>
      <c r="H7" s="43" t="n">
        <v>-0.1904145077720207</v>
      </c>
      <c r="I7" s="64" t="n">
        <v>35</v>
      </c>
      <c r="J7" s="65" t="n">
        <v>-286.27</v>
      </c>
      <c r="K7" s="65" t="n">
        <v>-198.39</v>
      </c>
      <c r="L7" s="65" t="n">
        <v>-87.88</v>
      </c>
      <c r="M7" s="41" t="n">
        <v>179.62</v>
      </c>
      <c r="N7" s="43" t="n">
        <v>0.0341</v>
      </c>
    </row>
    <row r="8">
      <c r="A8" s="40" t="inlineStr">
        <is>
          <t>BJBR</t>
        </is>
      </c>
      <c r="B8" s="41" t="n">
        <v>715</v>
      </c>
      <c r="C8" s="41" t="n">
        <v>746.5</v>
      </c>
      <c r="D8" s="43" t="n">
        <v>-0.0421969189551239</v>
      </c>
      <c r="E8" s="41" t="n">
        <v>771.9</v>
      </c>
      <c r="F8" s="43" t="n">
        <v>-0.07371421168545145</v>
      </c>
      <c r="G8" s="41" t="n">
        <v>796.35</v>
      </c>
      <c r="H8" s="43" t="n">
        <v>-0.1021535756890815</v>
      </c>
      <c r="I8" s="64" t="n">
        <v>37.4</v>
      </c>
      <c r="J8" s="65" t="n">
        <v>-15.73</v>
      </c>
      <c r="K8" s="65" t="n">
        <v>-11.97</v>
      </c>
      <c r="L8" s="65" t="n">
        <v>-3.76</v>
      </c>
      <c r="M8" s="41" t="n">
        <v>11.92</v>
      </c>
      <c r="N8" s="43" t="n">
        <v>0.0167</v>
      </c>
    </row>
    <row r="9">
      <c r="A9" s="40" t="inlineStr">
        <is>
          <t>BJTM</t>
        </is>
      </c>
      <c r="B9" s="41" t="n">
        <v>498</v>
      </c>
      <c r="C9" s="41" t="n">
        <v>507.15</v>
      </c>
      <c r="D9" s="43" t="n">
        <v>-0.01804199940845896</v>
      </c>
      <c r="E9" s="41" t="n">
        <v>515.5599999999999</v>
      </c>
      <c r="F9" s="43" t="n">
        <v>-0.03406005120645506</v>
      </c>
      <c r="G9" s="41" t="n">
        <v>540.79</v>
      </c>
      <c r="H9" s="43" t="n">
        <v>-0.07912498381996702</v>
      </c>
      <c r="I9" s="64" t="n">
        <v>43.8</v>
      </c>
      <c r="J9" s="65" t="n">
        <v>-6.18</v>
      </c>
      <c r="K9" s="65" t="n">
        <v>-4.39</v>
      </c>
      <c r="L9" s="65" t="n">
        <v>-1.79</v>
      </c>
      <c r="M9" s="41" t="n">
        <v>6.77</v>
      </c>
      <c r="N9" s="43" t="n">
        <v>0.0136</v>
      </c>
    </row>
    <row r="10">
      <c r="A10" s="40" t="inlineStr">
        <is>
          <t>TLKM</t>
        </is>
      </c>
      <c r="B10" s="41" t="n">
        <v>2080</v>
      </c>
      <c r="C10" s="41" t="n">
        <v>2231</v>
      </c>
      <c r="D10" s="43" t="n">
        <v>-0.06768265351860148</v>
      </c>
      <c r="E10" s="41" t="n">
        <v>2452.4</v>
      </c>
      <c r="F10" s="43" t="n">
        <v>-0.151851247757299</v>
      </c>
      <c r="G10" s="41" t="n">
        <v>2911.15</v>
      </c>
      <c r="H10" s="43" t="n">
        <v>-0.2855057279769163</v>
      </c>
      <c r="I10" s="64" t="n">
        <v>39.5</v>
      </c>
      <c r="J10" s="65" t="n">
        <v>-127.93</v>
      </c>
      <c r="K10" s="65" t="n">
        <v>-106.32</v>
      </c>
      <c r="L10" s="65" t="n">
        <v>-21.61</v>
      </c>
      <c r="M10" s="41" t="n">
        <v>82.31</v>
      </c>
      <c r="N10" s="43" t="n">
        <v>0.0396</v>
      </c>
    </row>
    <row r="11">
      <c r="A11" s="40" t="inlineStr">
        <is>
          <t>HMSP</t>
        </is>
      </c>
      <c r="B11" s="41" t="n">
        <v>645</v>
      </c>
      <c r="C11" s="41" t="n">
        <v>627.5</v>
      </c>
      <c r="D11" s="43" t="n">
        <v>0.02788844621513942</v>
      </c>
      <c r="E11" s="41" t="n">
        <v>676.4400000000001</v>
      </c>
      <c r="F11" s="43" t="n">
        <v>-0.0464786233812312</v>
      </c>
      <c r="G11" s="41" t="n">
        <v>728.6</v>
      </c>
      <c r="H11" s="43" t="n">
        <v>-0.1147405984079056</v>
      </c>
      <c r="I11" s="64" t="n">
        <v>50</v>
      </c>
      <c r="J11" s="65" t="n">
        <v>-17.77</v>
      </c>
      <c r="K11" s="65" t="n">
        <v>-23.4</v>
      </c>
      <c r="L11" s="65" t="n">
        <v>5.63</v>
      </c>
      <c r="M11" s="41" t="n">
        <v>11.54</v>
      </c>
      <c r="N11" s="43" t="n">
        <v>0.0179</v>
      </c>
    </row>
    <row r="12">
      <c r="A12" s="40" t="inlineStr">
        <is>
          <t>CLEO</t>
        </is>
      </c>
      <c r="B12" s="41" t="n">
        <v>400</v>
      </c>
      <c r="C12" s="41" t="n">
        <v>416.3</v>
      </c>
      <c r="D12" s="43" t="n">
        <v>-0.0391544559212107</v>
      </c>
      <c r="E12" s="41" t="n">
        <v>414.76</v>
      </c>
      <c r="F12" s="43" t="n">
        <v>-0.03558684540457124</v>
      </c>
      <c r="G12" s="41" t="n">
        <v>403.09</v>
      </c>
      <c r="H12" s="43" t="n">
        <v>-0.007665781835322072</v>
      </c>
      <c r="I12" s="64" t="n">
        <v>46.2</v>
      </c>
      <c r="J12" s="65" t="n">
        <v>-2.68</v>
      </c>
      <c r="K12" s="65" t="n">
        <v>1.23</v>
      </c>
      <c r="L12" s="65" t="n">
        <v>-3.91</v>
      </c>
      <c r="M12" s="41" t="n">
        <v>15.69</v>
      </c>
      <c r="N12" s="43" t="n">
        <v>0.0392</v>
      </c>
    </row>
    <row r="13">
      <c r="A13" s="40" t="inlineStr">
        <is>
          <t>ADRO</t>
        </is>
      </c>
      <c r="B13" s="41" t="n">
        <v>2360</v>
      </c>
      <c r="C13" s="41" t="n">
        <v>2482</v>
      </c>
      <c r="D13" s="43" t="n">
        <v>-0.04915390813859788</v>
      </c>
      <c r="E13" s="41" t="n">
        <v>2572.2</v>
      </c>
      <c r="F13" s="43" t="n">
        <v>-0.08249747298032804</v>
      </c>
      <c r="G13" s="41" t="n">
        <v>2390.1</v>
      </c>
      <c r="H13" s="43" t="n">
        <v>-0.01259361532990244</v>
      </c>
      <c r="I13" s="64" t="n">
        <v>41.9</v>
      </c>
      <c r="J13" s="65" t="n">
        <v>-67.54000000000001</v>
      </c>
      <c r="K13" s="65" t="n">
        <v>-47.45</v>
      </c>
      <c r="L13" s="65" t="n">
        <v>-20.08</v>
      </c>
      <c r="M13" s="41" t="n">
        <v>64.62</v>
      </c>
      <c r="N13" s="43" t="n">
        <v>0.0274</v>
      </c>
    </row>
    <row r="14">
      <c r="A14" s="40" t="inlineStr">
        <is>
          <t>PTBA</t>
        </is>
      </c>
      <c r="B14" s="41" t="n">
        <v>3080</v>
      </c>
      <c r="C14" s="41" t="n">
        <v>3161</v>
      </c>
      <c r="D14" s="43" t="n">
        <v>-0.02562480227776021</v>
      </c>
      <c r="E14" s="41" t="n">
        <v>2911.8</v>
      </c>
      <c r="F14" s="43" t="n">
        <v>0.05776495638436696</v>
      </c>
      <c r="G14" s="41" t="n">
        <v>2690.9</v>
      </c>
      <c r="H14" s="43" t="n">
        <v>0.1445984614812887</v>
      </c>
      <c r="I14" s="64" t="n">
        <v>50.4</v>
      </c>
      <c r="J14" s="65" t="n">
        <v>38.1</v>
      </c>
      <c r="K14" s="65" t="n">
        <v>93.53</v>
      </c>
      <c r="L14" s="65" t="n">
        <v>-55.43</v>
      </c>
      <c r="M14" s="41" t="n">
        <v>90.77</v>
      </c>
      <c r="N14" s="43" t="n">
        <v>0.0295</v>
      </c>
    </row>
    <row r="15">
      <c r="A15" s="40" t="inlineStr">
        <is>
          <t>PGEO</t>
        </is>
      </c>
      <c r="B15" s="41" t="n">
        <v>980</v>
      </c>
      <c r="C15" s="41" t="n">
        <v>976.75</v>
      </c>
      <c r="D15" s="43" t="n">
        <v>0.003327361146659769</v>
      </c>
      <c r="E15" s="41" t="n">
        <v>1019.8</v>
      </c>
      <c r="F15" s="43" t="n">
        <v>-0.03902726024710723</v>
      </c>
      <c r="G15" s="41" t="n">
        <v>1030.98</v>
      </c>
      <c r="H15" s="43" t="n">
        <v>-0.04944809792624493</v>
      </c>
      <c r="I15" s="64" t="n">
        <v>49.3</v>
      </c>
      <c r="J15" s="65" t="n">
        <v>-23.87</v>
      </c>
      <c r="K15" s="65" t="n">
        <v>-22.33</v>
      </c>
      <c r="L15" s="65" t="n">
        <v>-1.54</v>
      </c>
      <c r="M15" s="41" t="n">
        <v>32.31</v>
      </c>
      <c r="N15" s="43" t="n">
        <v>0.033</v>
      </c>
    </row>
    <row r="16">
      <c r="A16" s="40" t="inlineStr">
        <is>
          <t>POWR</t>
        </is>
      </c>
      <c r="B16" s="41" t="n">
        <v>910</v>
      </c>
      <c r="C16" s="41" t="n">
        <v>936.25</v>
      </c>
      <c r="D16" s="43" t="n">
        <v>-0.0280373831775701</v>
      </c>
      <c r="E16" s="41" t="n">
        <v>925.2</v>
      </c>
      <c r="F16" s="43" t="n">
        <v>-0.01642888024210987</v>
      </c>
      <c r="G16" s="41" t="n">
        <v>769.6500000000001</v>
      </c>
      <c r="H16" s="43" t="n">
        <v>0.1823556161891769</v>
      </c>
      <c r="I16" s="64" t="n">
        <v>47.9</v>
      </c>
      <c r="J16" s="65" t="n">
        <v>-10.14</v>
      </c>
      <c r="K16" s="65" t="n">
        <v>2.1</v>
      </c>
      <c r="L16" s="65" t="n">
        <v>-12.24</v>
      </c>
      <c r="M16" s="41" t="n">
        <v>26.92</v>
      </c>
      <c r="N16" s="43" t="n">
        <v>0.0296</v>
      </c>
    </row>
    <row r="17">
      <c r="A17" s="40" t="inlineStr">
        <is>
          <t>IPCC</t>
        </is>
      </c>
      <c r="B17" s="41" t="n">
        <v>990</v>
      </c>
      <c r="C17" s="41" t="n">
        <v>1041.75</v>
      </c>
      <c r="D17" s="43" t="n">
        <v>-0.04967602591792653</v>
      </c>
      <c r="E17" s="41" t="n">
        <v>1101.4</v>
      </c>
      <c r="F17" s="43" t="n">
        <v>-0.1011439985473035</v>
      </c>
      <c r="G17" s="41" t="n">
        <v>1221.33</v>
      </c>
      <c r="H17" s="43" t="n">
        <v>-0.189408268035666</v>
      </c>
      <c r="I17" s="64" t="n">
        <v>38.1</v>
      </c>
      <c r="J17" s="65" t="n">
        <v>-34.16</v>
      </c>
      <c r="K17" s="65" t="n">
        <v>-29.51</v>
      </c>
      <c r="L17" s="65" t="n">
        <v>-4.65</v>
      </c>
      <c r="M17" s="41" t="n">
        <v>21.54</v>
      </c>
      <c r="N17" s="43" t="n">
        <v>0.0218</v>
      </c>
    </row>
    <row r="18">
      <c r="A18" s="40" t="inlineStr">
        <is>
          <t>TUGU</t>
        </is>
      </c>
      <c r="B18" s="41" t="n">
        <v>1345</v>
      </c>
      <c r="C18" s="41" t="n">
        <v>1456.5</v>
      </c>
      <c r="D18" s="43" t="n">
        <v>-0.07655338139375212</v>
      </c>
      <c r="E18" s="41" t="n">
        <v>1428.1</v>
      </c>
      <c r="F18" s="43" t="n">
        <v>-0.05818920243680403</v>
      </c>
      <c r="G18" s="41" t="n">
        <v>1274.2</v>
      </c>
      <c r="H18" s="43" t="n">
        <v>0.05556427562392074</v>
      </c>
      <c r="I18" s="64" t="n">
        <v>43.3</v>
      </c>
      <c r="J18" s="65" t="n">
        <v>-27.23</v>
      </c>
      <c r="K18" s="65" t="n">
        <v>-1.6</v>
      </c>
      <c r="L18" s="65" t="n">
        <v>-25.63</v>
      </c>
      <c r="M18" s="41" t="n">
        <v>51.15</v>
      </c>
      <c r="N18" s="43" t="n">
        <v>0.038</v>
      </c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Catatan &amp; Sumber</t>
        </is>
      </c>
    </row>
    <row r="3" ht="30" customHeight="1">
      <c r="A3" s="36" t="inlineStr">
        <is>
          <t>•  Data harga dan laporan keuangan: stockanalysis.com (S&amp;P Global Market Intelligence), diakses 21 Oktober 2026.</t>
        </is>
      </c>
    </row>
    <row r="4" ht="30" customHeight="1">
      <c r="A4" s="36" t="inlineStr">
        <is>
          <t>•  Harga acuan: perdagangan 21 Oktober 2026 pukul 11.00–11.35 WIB. Pasar masih bergerak saat file ini dibuat.</t>
        </is>
      </c>
    </row>
    <row r="5" ht="30" customHeight="1">
      <c r="A5" s="36" t="inlineStr">
        <is>
          <t>•  Verifikasi berita: Kontan, Bisnis Indonesia, CNBC Indonesia, Antara, IDX Channel, Katadata.</t>
        </is>
      </c>
    </row>
    <row r="6" ht="30" customHeight="1">
      <c r="A6" s="36" t="inlineStr">
        <is>
          <t>•  Biaya ekuitas (COE) 13,5% = BI-Rate 5,75% + premi risiko ekuitas 7,75%.</t>
        </is>
      </c>
    </row>
    <row r="7" ht="30" customHeight="1">
      <c r="A7" s="36" t="inlineStr">
        <is>
          <t>•  Nilai wajar memakai PE wajar per emiten (judgment) dan/atau PB wajar serta DDM; lihat sheet 'Valuasi &amp; Skenario'.</t>
        </is>
      </c>
    </row>
    <row r="8" ht="30" customHeight="1">
      <c r="A8" s="36" t="inlineStr">
        <is>
          <t>•  Broker summary dan foreign flow per saham TIDAK tersedia (data berbayar) — tidak diestimasi.</t>
        </is>
      </c>
    </row>
    <row r="9" ht="30" customHeight="1">
      <c r="A9" s="36" t="inlineStr">
        <is>
          <t>•  MA100 tidak tersedia dari sumber data; MA50/MA200 dari penyedia data, MA20/RSI/MACD dihitung dari 50 sesi.</t>
        </is>
      </c>
    </row>
    <row r="10" ht="30" customHeight="1">
      <c r="A10" s="36" t="inlineStr">
        <is>
          <t>•  ADRO: laporan 2021–2024 mencakup AADI yang dilepas Desember 2024; pertumbuhan historis tidak sebanding.</t>
        </is>
      </c>
    </row>
    <row r="11" ht="30" customHeight="1">
      <c r="A11" s="36" t="inlineStr">
        <is>
          <t>•  Bukan rekomendasi investasi. Kinerja masa lalu tidak menjamin hasil masa depan.</t>
        </is>
      </c>
    </row>
  </sheetData>
  <mergeCells count="10">
    <mergeCell ref="A4:E4"/>
    <mergeCell ref="A7:E7"/>
    <mergeCell ref="A1:F1"/>
    <mergeCell ref="A10:E10"/>
    <mergeCell ref="A11:E1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3" customWidth="1" min="5" max="5"/>
    <col width="14" customWidth="1" min="6" max="6"/>
    <col width="11" customWidth="1" min="7" max="7"/>
    <col width="13" customWidth="1" min="8" max="8"/>
    <col width="46" customWidth="1" min="9" max="9"/>
  </cols>
  <sheetData>
    <row r="1">
      <c r="A1" s="1" t="inlineStr">
        <is>
          <t>Log Bulanan</t>
        </is>
      </c>
    </row>
    <row r="2">
      <c r="A2" s="2" t="inlineStr">
        <is>
          <t>Satu baris per bulan — jejak apakah tesis investasi benar-benar berjalan.</t>
        </is>
      </c>
    </row>
    <row r="4" ht="30" customHeight="1">
      <c r="A4" s="8" t="inlineStr">
        <is>
          <t>Bulan</t>
        </is>
      </c>
      <c r="B4" s="8" t="inlineStr">
        <is>
          <t>Tanggal</t>
        </is>
      </c>
      <c r="C4" s="8" t="inlineStr">
        <is>
          <t>IHSG</t>
        </is>
      </c>
      <c r="D4" s="8" t="inlineStr">
        <is>
          <t>Yield rata-rata</t>
        </is>
      </c>
      <c r="E4" s="8" t="inlineStr">
        <is>
          <t>MoS rata-rata</t>
        </is>
      </c>
      <c r="F4" s="8" t="inlineStr">
        <is>
          <t>Jumlah MoS &gt; 0</t>
        </is>
      </c>
      <c r="G4" s="8" t="inlineStr">
        <is>
          <t>Jumlah Buy</t>
        </is>
      </c>
      <c r="H4" s="8" t="inlineStr">
        <is>
          <t>Skor rata-rata</t>
        </is>
      </c>
      <c r="I4" s="8" t="inlineStr">
        <is>
          <t>Catatan</t>
        </is>
      </c>
    </row>
    <row r="5">
      <c r="A5" s="40" t="inlineStr">
        <is>
          <t>2026-10</t>
        </is>
      </c>
      <c r="B5" s="30" t="inlineStr">
        <is>
          <t>2026-10-21</t>
        </is>
      </c>
      <c r="C5" s="41" t="n">
        <v>5236</v>
      </c>
      <c r="D5" s="43" t="n">
        <v>0.0876</v>
      </c>
      <c r="E5" s="43" t="n">
        <v>0.0785</v>
      </c>
      <c r="F5" s="30" t="n">
        <v>10</v>
      </c>
      <c r="G5" s="30" t="n">
        <v>7</v>
      </c>
      <c r="H5" s="64" t="n">
        <v>59.1</v>
      </c>
      <c r="I5" s="44" t="inlineStr">
        <is>
          <t>Baseline: IHSG -40% YTD, krisis MSCI, harga 21 Okt 2026</t>
        </is>
      </c>
    </row>
    <row r="6">
      <c r="A6" s="66" t="n"/>
      <c r="B6" s="66" t="n"/>
      <c r="C6" s="55" t="n"/>
      <c r="D6" s="56" t="n"/>
      <c r="E6" s="56" t="n"/>
      <c r="F6" s="66" t="n"/>
      <c r="G6" s="66" t="n"/>
      <c r="H6" s="67" t="n"/>
      <c r="I6" s="66" t="n"/>
    </row>
    <row r="7">
      <c r="A7" s="66" t="n"/>
      <c r="B7" s="66" t="n"/>
      <c r="C7" s="55" t="n"/>
      <c r="D7" s="56" t="n"/>
      <c r="E7" s="56" t="n"/>
      <c r="F7" s="66" t="n"/>
      <c r="G7" s="66" t="n"/>
      <c r="H7" s="67" t="n"/>
      <c r="I7" s="66" t="n"/>
    </row>
    <row r="8">
      <c r="A8" s="66" t="n"/>
      <c r="B8" s="66" t="n"/>
      <c r="C8" s="55" t="n"/>
      <c r="D8" s="56" t="n"/>
      <c r="E8" s="56" t="n"/>
      <c r="F8" s="66" t="n"/>
      <c r="G8" s="66" t="n"/>
      <c r="H8" s="67" t="n"/>
      <c r="I8" s="66" t="n"/>
    </row>
    <row r="9">
      <c r="A9" s="66" t="n"/>
      <c r="B9" s="66" t="n"/>
      <c r="C9" s="55" t="n"/>
      <c r="D9" s="56" t="n"/>
      <c r="E9" s="56" t="n"/>
      <c r="F9" s="66" t="n"/>
      <c r="G9" s="66" t="n"/>
      <c r="H9" s="67" t="n"/>
      <c r="I9" s="66" t="n"/>
    </row>
    <row r="10">
      <c r="A10" s="66" t="n"/>
      <c r="B10" s="66" t="n"/>
      <c r="C10" s="55" t="n"/>
      <c r="D10" s="56" t="n"/>
      <c r="E10" s="56" t="n"/>
      <c r="F10" s="66" t="n"/>
      <c r="G10" s="66" t="n"/>
      <c r="H10" s="67" t="n"/>
      <c r="I10" s="66" t="n"/>
    </row>
    <row r="11">
      <c r="A11" s="66" t="n"/>
      <c r="B11" s="66" t="n"/>
      <c r="C11" s="55" t="n"/>
      <c r="D11" s="56" t="n"/>
      <c r="E11" s="56" t="n"/>
      <c r="F11" s="66" t="n"/>
      <c r="G11" s="66" t="n"/>
      <c r="H11" s="67" t="n"/>
      <c r="I11" s="66" t="n"/>
    </row>
    <row r="12">
      <c r="A12" s="66" t="n"/>
      <c r="B12" s="66" t="n"/>
      <c r="C12" s="55" t="n"/>
      <c r="D12" s="56" t="n"/>
      <c r="E12" s="56" t="n"/>
      <c r="F12" s="66" t="n"/>
      <c r="G12" s="66" t="n"/>
      <c r="H12" s="67" t="n"/>
      <c r="I12" s="66" t="n"/>
    </row>
    <row r="13">
      <c r="A13" s="66" t="n"/>
      <c r="B13" s="66" t="n"/>
      <c r="C13" s="55" t="n"/>
      <c r="D13" s="56" t="n"/>
      <c r="E13" s="56" t="n"/>
      <c r="F13" s="66" t="n"/>
      <c r="G13" s="66" t="n"/>
      <c r="H13" s="67" t="n"/>
      <c r="I13" s="66" t="n"/>
    </row>
    <row r="14">
      <c r="A14" s="66" t="n"/>
      <c r="B14" s="66" t="n"/>
      <c r="C14" s="55" t="n"/>
      <c r="D14" s="56" t="n"/>
      <c r="E14" s="56" t="n"/>
      <c r="F14" s="66" t="n"/>
      <c r="G14" s="66" t="n"/>
      <c r="H14" s="67" t="n"/>
      <c r="I14" s="66" t="n"/>
    </row>
    <row r="15">
      <c r="A15" s="66" t="n"/>
      <c r="B15" s="66" t="n"/>
      <c r="C15" s="55" t="n"/>
      <c r="D15" s="56" t="n"/>
      <c r="E15" s="56" t="n"/>
      <c r="F15" s="66" t="n"/>
      <c r="G15" s="66" t="n"/>
      <c r="H15" s="67" t="n"/>
      <c r="I15" s="66" t="n"/>
    </row>
    <row r="16">
      <c r="A16" s="66" t="n"/>
      <c r="B16" s="66" t="n"/>
      <c r="C16" s="55" t="n"/>
      <c r="D16" s="56" t="n"/>
      <c r="E16" s="56" t="n"/>
      <c r="F16" s="66" t="n"/>
      <c r="G16" s="66" t="n"/>
      <c r="H16" s="67" t="n"/>
      <c r="I16" s="66" t="n"/>
    </row>
    <row r="17">
      <c r="A17" s="66" t="n"/>
      <c r="B17" s="66" t="n"/>
      <c r="C17" s="55" t="n"/>
      <c r="D17" s="56" t="n"/>
      <c r="E17" s="56" t="n"/>
      <c r="F17" s="66" t="n"/>
      <c r="G17" s="66" t="n"/>
      <c r="H17" s="67" t="n"/>
      <c r="I17" s="66" t="n"/>
    </row>
    <row r="18">
      <c r="A18" s="66" t="n"/>
      <c r="B18" s="66" t="n"/>
      <c r="C18" s="55" t="n"/>
      <c r="D18" s="56" t="n"/>
      <c r="E18" s="56" t="n"/>
      <c r="F18" s="66" t="n"/>
      <c r="G18" s="66" t="n"/>
      <c r="H18" s="67" t="n"/>
      <c r="I18" s="66" t="n"/>
    </row>
    <row r="19">
      <c r="A19" s="66" t="n"/>
      <c r="B19" s="66" t="n"/>
      <c r="C19" s="55" t="n"/>
      <c r="D19" s="56" t="n"/>
      <c r="E19" s="56" t="n"/>
      <c r="F19" s="66" t="n"/>
      <c r="G19" s="66" t="n"/>
      <c r="H19" s="67" t="n"/>
      <c r="I19" s="66" t="n"/>
    </row>
    <row r="20">
      <c r="A20" s="66" t="n"/>
      <c r="B20" s="66" t="n"/>
      <c r="C20" s="55" t="n"/>
      <c r="D20" s="56" t="n"/>
      <c r="E20" s="56" t="n"/>
      <c r="F20" s="66" t="n"/>
      <c r="G20" s="66" t="n"/>
      <c r="H20" s="67" t="n"/>
      <c r="I20" s="66" t="n"/>
    </row>
    <row r="21">
      <c r="A21" s="66" t="n"/>
      <c r="B21" s="66" t="n"/>
      <c r="C21" s="55" t="n"/>
      <c r="D21" s="56" t="n"/>
      <c r="E21" s="56" t="n"/>
      <c r="F21" s="66" t="n"/>
      <c r="G21" s="66" t="n"/>
      <c r="H21" s="67" t="n"/>
      <c r="I21" s="66" t="n"/>
    </row>
    <row r="22">
      <c r="A22" s="66" t="n"/>
      <c r="B22" s="66" t="n"/>
      <c r="C22" s="55" t="n"/>
      <c r="D22" s="56" t="n"/>
      <c r="E22" s="56" t="n"/>
      <c r="F22" s="66" t="n"/>
      <c r="G22" s="66" t="n"/>
      <c r="H22" s="67" t="n"/>
      <c r="I22" s="66" t="n"/>
    </row>
    <row r="23">
      <c r="A23" s="66" t="n"/>
      <c r="B23" s="66" t="n"/>
      <c r="C23" s="55" t="n"/>
      <c r="D23" s="56" t="n"/>
      <c r="E23" s="56" t="n"/>
      <c r="F23" s="66" t="n"/>
      <c r="G23" s="66" t="n"/>
      <c r="H23" s="67" t="n"/>
      <c r="I23" s="66" t="n"/>
    </row>
    <row r="24">
      <c r="A24" s="66" t="n"/>
      <c r="B24" s="66" t="n"/>
      <c r="C24" s="55" t="n"/>
      <c r="D24" s="56" t="n"/>
      <c r="E24" s="56" t="n"/>
      <c r="F24" s="66" t="n"/>
      <c r="G24" s="66" t="n"/>
      <c r="H24" s="67" t="n"/>
      <c r="I24" s="66" t="n"/>
    </row>
    <row r="25">
      <c r="A25" s="66" t="n"/>
      <c r="B25" s="66" t="n"/>
      <c r="C25" s="55" t="n"/>
      <c r="D25" s="56" t="n"/>
      <c r="E25" s="56" t="n"/>
      <c r="F25" s="66" t="n"/>
      <c r="G25" s="66" t="n"/>
      <c r="H25" s="67" t="n"/>
      <c r="I25" s="66" t="n"/>
    </row>
    <row r="26">
      <c r="A26" s="66" t="n"/>
      <c r="B26" s="66" t="n"/>
      <c r="C26" s="55" t="n"/>
      <c r="D26" s="56" t="n"/>
      <c r="E26" s="56" t="n"/>
      <c r="F26" s="66" t="n"/>
      <c r="G26" s="66" t="n"/>
      <c r="H26" s="67" t="n"/>
      <c r="I26" s="66" t="n"/>
    </row>
    <row r="27">
      <c r="A27" s="66" t="n"/>
      <c r="B27" s="66" t="n"/>
      <c r="C27" s="55" t="n"/>
      <c r="D27" s="56" t="n"/>
      <c r="E27" s="56" t="n"/>
      <c r="F27" s="66" t="n"/>
      <c r="G27" s="66" t="n"/>
      <c r="H27" s="67" t="n"/>
      <c r="I27" s="66" t="n"/>
    </row>
    <row r="28">
      <c r="A28" s="66" t="n"/>
      <c r="B28" s="66" t="n"/>
      <c r="C28" s="55" t="n"/>
      <c r="D28" s="56" t="n"/>
      <c r="E28" s="56" t="n"/>
      <c r="F28" s="66" t="n"/>
      <c r="G28" s="66" t="n"/>
      <c r="H28" s="67" t="n"/>
      <c r="I28" s="66" t="n"/>
    </row>
    <row r="29">
      <c r="A29" s="66" t="n"/>
      <c r="B29" s="66" t="n"/>
      <c r="C29" s="55" t="n"/>
      <c r="D29" s="56" t="n"/>
      <c r="E29" s="56" t="n"/>
      <c r="F29" s="66" t="n"/>
      <c r="G29" s="66" t="n"/>
      <c r="H29" s="67" t="n"/>
      <c r="I29" s="66" t="n"/>
    </row>
    <row r="31" ht="30" customHeight="1">
      <c r="A31" s="39" t="inlineStr">
        <is>
          <t>Cara mengisi: di Google Sheets, jalankan skrip LogBulanan.gs (Extensions &gt; Apps Script) - baris baru ditambahkan otomatis setiap awal bulan. Di Excel, salin baris terakhir lalu ubah tanggal dan angkanya setelah memperbarui harga.</t>
        </is>
      </c>
    </row>
  </sheetData>
  <mergeCells count="2">
    <mergeCell ref="A1:I1"/>
    <mergeCell ref="A31:I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42" customWidth="1" min="9" max="9"/>
  </cols>
  <sheetData>
    <row r="1">
      <c r="A1" s="70" t="inlineStr">
        <is>
          <t>KODE</t>
        </is>
      </c>
      <c r="B1" s="70" t="inlineStr">
        <is>
          <t>FUND</t>
        </is>
      </c>
      <c r="C1" s="70" t="inlineStr">
        <is>
          <t>VAL</t>
        </is>
      </c>
      <c r="D1" s="70" t="inlineStr">
        <is>
          <t>DIV</t>
        </is>
      </c>
      <c r="E1" s="70" t="inlineStr">
        <is>
          <t>TECH</t>
        </is>
      </c>
      <c r="F1" s="70" t="inlineStr">
        <is>
          <t>RISK</t>
        </is>
      </c>
      <c r="G1" s="70" t="inlineStr">
        <is>
          <t>PROS</t>
        </is>
      </c>
      <c r="H1" s="70" t="inlineStr">
        <is>
          <t>TOTAL</t>
        </is>
      </c>
      <c r="I1" s="70" t="inlineStr">
        <is>
          <t>CATATAN</t>
        </is>
      </c>
    </row>
    <row r="2">
      <c r="A2" t="inlineStr">
        <is>
          <t>BMRI</t>
        </is>
      </c>
      <c r="H2" t="n">
        <v>70.5</v>
      </c>
      <c r="I2" t="inlineStr">
        <is>
          <t>Isi 0–10; untuk emiten baru belum tersedia.</t>
        </is>
      </c>
    </row>
    <row r="3">
      <c r="A3" t="inlineStr">
        <is>
          <t>BBRI</t>
        </is>
      </c>
      <c r="H3" t="n">
        <v>67</v>
      </c>
      <c r="I3" t="inlineStr">
        <is>
          <t>Isi 0–10; untuk emiten baru belum tersedia.</t>
        </is>
      </c>
    </row>
    <row r="4">
      <c r="A4" t="inlineStr">
        <is>
          <t>BBCA</t>
        </is>
      </c>
      <c r="H4" t="n">
        <v>58</v>
      </c>
      <c r="I4" t="inlineStr">
        <is>
          <t>Isi 0–10; untuk emiten baru belum tersedia.</t>
        </is>
      </c>
    </row>
    <row r="5">
      <c r="A5" t="inlineStr">
        <is>
          <t>BJBR</t>
        </is>
      </c>
      <c r="B5" t="n">
        <v>6</v>
      </c>
      <c r="C5" t="n">
        <v>8</v>
      </c>
      <c r="D5" t="n">
        <v>7</v>
      </c>
      <c r="E5" t="n">
        <v>4</v>
      </c>
      <c r="F5" t="n">
        <v>4</v>
      </c>
      <c r="G5" t="n">
        <v>5</v>
      </c>
      <c r="H5" t="n">
        <v>60.5</v>
      </c>
      <c r="I5" t="inlineStr"/>
    </row>
    <row r="6">
      <c r="A6" t="inlineStr">
        <is>
          <t>BJTM</t>
        </is>
      </c>
      <c r="B6" t="n">
        <v>5</v>
      </c>
      <c r="C6" t="n">
        <v>9</v>
      </c>
      <c r="D6" t="n">
        <v>7</v>
      </c>
      <c r="E6" t="n">
        <v>4</v>
      </c>
      <c r="F6" t="n">
        <v>3</v>
      </c>
      <c r="G6" t="n">
        <v>5</v>
      </c>
      <c r="H6" t="n">
        <v>59</v>
      </c>
      <c r="I6" t="inlineStr"/>
    </row>
    <row r="7">
      <c r="A7" t="inlineStr">
        <is>
          <t>TLKM</t>
        </is>
      </c>
      <c r="B7" t="n">
        <v>6</v>
      </c>
      <c r="C7" t="n">
        <v>8</v>
      </c>
      <c r="D7" t="n">
        <v>7</v>
      </c>
      <c r="E7" t="n">
        <v>3</v>
      </c>
      <c r="F7" t="n">
        <v>5</v>
      </c>
      <c r="G7" t="n">
        <v>6</v>
      </c>
      <c r="H7" t="n">
        <v>62</v>
      </c>
      <c r="I7" t="inlineStr"/>
    </row>
    <row r="8">
      <c r="A8" t="inlineStr">
        <is>
          <t>HMSP</t>
        </is>
      </c>
      <c r="H8" t="n">
        <v>53</v>
      </c>
      <c r="I8" t="inlineStr">
        <is>
          <t>Isi 0–10; untuk emiten baru belum tersedia.</t>
        </is>
      </c>
    </row>
    <row r="9">
      <c r="A9" t="inlineStr">
        <is>
          <t>CLEO</t>
        </is>
      </c>
      <c r="H9" t="n">
        <v>50.5</v>
      </c>
      <c r="I9" t="inlineStr">
        <is>
          <t>Isi 0–10; untuk emiten baru belum tersedia.</t>
        </is>
      </c>
    </row>
    <row r="10">
      <c r="A10" t="inlineStr">
        <is>
          <t>ADRO</t>
        </is>
      </c>
      <c r="B10" t="n">
        <v>7</v>
      </c>
      <c r="C10" t="n">
        <v>5</v>
      </c>
      <c r="D10" t="n">
        <v>6</v>
      </c>
      <c r="E10" t="n">
        <v>5</v>
      </c>
      <c r="F10" t="n">
        <v>5</v>
      </c>
      <c r="G10" t="n">
        <v>7</v>
      </c>
      <c r="H10" t="n">
        <v>58.5</v>
      </c>
      <c r="I10" t="inlineStr"/>
    </row>
    <row r="11">
      <c r="A11" t="inlineStr">
        <is>
          <t>PTBA</t>
        </is>
      </c>
      <c r="B11" t="n">
        <v>6</v>
      </c>
      <c r="C11" t="n">
        <v>4</v>
      </c>
      <c r="D11" t="n">
        <v>3</v>
      </c>
      <c r="E11" t="n">
        <v>7</v>
      </c>
      <c r="F11" t="n">
        <v>5</v>
      </c>
      <c r="G11" t="n">
        <v>7</v>
      </c>
      <c r="H11" t="n">
        <v>49</v>
      </c>
      <c r="I11" t="inlineStr"/>
    </row>
    <row r="12">
      <c r="A12" t="inlineStr">
        <is>
          <t>PGEO</t>
        </is>
      </c>
      <c r="B12" t="n">
        <v>6</v>
      </c>
      <c r="C12" t="n">
        <v>3</v>
      </c>
      <c r="D12" t="n">
        <v>5</v>
      </c>
      <c r="E12" t="n">
        <v>5</v>
      </c>
      <c r="F12" t="n">
        <v>6</v>
      </c>
      <c r="G12" t="n">
        <v>7</v>
      </c>
      <c r="H12" t="n">
        <v>51.5</v>
      </c>
      <c r="I12" t="inlineStr"/>
    </row>
    <row r="13">
      <c r="A13" t="inlineStr">
        <is>
          <t>POWR</t>
        </is>
      </c>
      <c r="B13" t="n">
        <v>7</v>
      </c>
      <c r="C13" t="n">
        <v>3</v>
      </c>
      <c r="D13" t="n">
        <v>7</v>
      </c>
      <c r="E13" t="n">
        <v>7</v>
      </c>
      <c r="F13" t="n">
        <v>5</v>
      </c>
      <c r="G13" t="n">
        <v>7</v>
      </c>
      <c r="H13" t="n">
        <v>59</v>
      </c>
      <c r="I13" t="inlineStr"/>
    </row>
    <row r="14">
      <c r="A14" t="inlineStr">
        <is>
          <t>IPCC</t>
        </is>
      </c>
      <c r="B14" t="n">
        <v>8</v>
      </c>
      <c r="C14" t="n">
        <v>7</v>
      </c>
      <c r="D14" t="n">
        <v>8</v>
      </c>
      <c r="E14" t="n">
        <v>3</v>
      </c>
      <c r="F14" t="n">
        <v>3</v>
      </c>
      <c r="G14" t="n">
        <v>6</v>
      </c>
      <c r="H14" t="n">
        <v>63.5</v>
      </c>
      <c r="I14" t="inlineStr"/>
    </row>
    <row r="15">
      <c r="A15" t="inlineStr">
        <is>
          <t>TUGU</t>
        </is>
      </c>
      <c r="B15" t="n">
        <v>7</v>
      </c>
      <c r="C15" t="n">
        <v>7</v>
      </c>
      <c r="D15" t="n">
        <v>8</v>
      </c>
      <c r="E15" t="n">
        <v>4</v>
      </c>
      <c r="F15" t="n">
        <v>5</v>
      </c>
      <c r="G15" t="n">
        <v>6</v>
      </c>
      <c r="H15" t="n">
        <v>65.5</v>
      </c>
      <c r="I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9" customWidth="1" min="4" max="4"/>
    <col width="11" customWidth="1" min="5" max="5"/>
    <col width="10" customWidth="1" min="6" max="6"/>
    <col width="13" customWidth="1" min="7" max="7"/>
    <col width="13" customWidth="1" min="8" max="8"/>
    <col width="13" customWidth="1" min="9" max="9"/>
    <col width="9" customWidth="1" min="10" max="10"/>
    <col width="9" customWidth="1" min="11" max="11"/>
    <col width="13" customWidth="1" min="12" max="12"/>
    <col width="14" customWidth="1" min="13" max="13"/>
    <col width="13" customWidth="1" min="14" max="14"/>
    <col width="11" customWidth="1" min="15" max="15"/>
    <col width="11" customWidth="1" min="16" max="16"/>
    <col width="12" customWidth="1" min="17" max="17"/>
    <col width="12" customWidth="1" min="18" max="18"/>
    <col width="22" customWidth="1" min="19" max="19"/>
    <col width="30" customWidth="1" min="20" max="20"/>
  </cols>
  <sheetData>
    <row r="1">
      <c r="A1" s="70" t="inlineStr">
        <is>
          <t>KODE</t>
        </is>
      </c>
      <c r="B1" s="70" t="inlineStr">
        <is>
          <t>NAMA</t>
        </is>
      </c>
      <c r="C1" s="70" t="inlineStr">
        <is>
          <t>TAHUN</t>
        </is>
      </c>
      <c r="D1" s="70" t="inlineStr">
        <is>
          <t>PERIODE</t>
        </is>
      </c>
      <c r="E1" s="70" t="inlineStr">
        <is>
          <t>MATA_UANG</t>
        </is>
      </c>
      <c r="F1" s="70" t="inlineStr">
        <is>
          <t>SATUAN</t>
        </is>
      </c>
      <c r="G1" s="70" t="inlineStr">
        <is>
          <t>PENDAPATAN</t>
        </is>
      </c>
      <c r="H1" s="70" t="inlineStr">
        <is>
          <t>LABA_OPERASI</t>
        </is>
      </c>
      <c r="I1" s="70" t="inlineStr">
        <is>
          <t>LABA_BERSIH</t>
        </is>
      </c>
      <c r="J1" s="70" t="inlineStr">
        <is>
          <t>EPS</t>
        </is>
      </c>
      <c r="K1" s="70" t="inlineStr">
        <is>
          <t>DPS</t>
        </is>
      </c>
      <c r="L1" s="70" t="inlineStr">
        <is>
          <t>TOTAL_ASET</t>
        </is>
      </c>
      <c r="M1" s="70" t="inlineStr">
        <is>
          <t>TOTAL_EKUITAS</t>
        </is>
      </c>
      <c r="N1" s="70" t="inlineStr">
        <is>
          <t>TOTAL_UTANG</t>
        </is>
      </c>
      <c r="O1" s="70" t="inlineStr">
        <is>
          <t>KAS</t>
        </is>
      </c>
      <c r="P1" s="70" t="inlineStr">
        <is>
          <t>EBITDA</t>
        </is>
      </c>
      <c r="Q1" s="70" t="inlineStr">
        <is>
          <t>FCF</t>
        </is>
      </c>
      <c r="R1" s="70" t="inlineStr">
        <is>
          <t>SHARES</t>
        </is>
      </c>
      <c r="S1" s="70" t="inlineStr">
        <is>
          <t>SUMBER</t>
        </is>
      </c>
      <c r="T1" s="70" t="inlineStr">
        <is>
          <t>CATATAN</t>
        </is>
      </c>
    </row>
    <row r="2">
      <c r="A2" t="inlineStr">
        <is>
          <t>BMRI</t>
        </is>
      </c>
      <c r="B2" t="inlineStr">
        <is>
          <t>Bank Mandiri</t>
        </is>
      </c>
      <c r="C2" t="n">
        <v>2021</v>
      </c>
      <c r="D2" t="inlineStr">
        <is>
          <t>FY</t>
        </is>
      </c>
      <c r="E2" t="inlineStr">
        <is>
          <t>IDR</t>
        </is>
      </c>
      <c r="F2" t="inlineStr">
        <is>
          <t>Triliun</t>
        </is>
      </c>
      <c r="G2" t="n">
        <v>86.55233200000001</v>
      </c>
      <c r="I2" t="n">
        <v>28.028155</v>
      </c>
      <c r="J2" t="n">
        <v>300.53</v>
      </c>
      <c r="S2" t="inlineStr">
        <is>
          <t>Data Keuangan 2021-2025</t>
        </is>
      </c>
      <c r="T2" t="inlineStr"/>
    </row>
    <row r="3">
      <c r="A3" t="inlineStr">
        <is>
          <t>BMRI</t>
        </is>
      </c>
      <c r="B3" t="inlineStr">
        <is>
          <t>Bank Mandiri</t>
        </is>
      </c>
      <c r="C3" t="n">
        <v>2022</v>
      </c>
      <c r="D3" t="inlineStr">
        <is>
          <t>FY</t>
        </is>
      </c>
      <c r="E3" t="inlineStr">
        <is>
          <t>IDR</t>
        </is>
      </c>
      <c r="F3" t="inlineStr">
        <is>
          <t>Triliun</t>
        </is>
      </c>
      <c r="G3" t="n">
        <v>109.39753</v>
      </c>
      <c r="I3" t="n">
        <v>41.170637</v>
      </c>
      <c r="J3" t="n">
        <v>441.26</v>
      </c>
      <c r="K3" t="n">
        <v>180.32</v>
      </c>
      <c r="S3" t="inlineStr">
        <is>
          <t>Data Keuangan 2021-2025</t>
        </is>
      </c>
      <c r="T3" t="inlineStr"/>
    </row>
    <row r="4">
      <c r="A4" t="inlineStr">
        <is>
          <t>BMRI</t>
        </is>
      </c>
      <c r="B4" t="inlineStr">
        <is>
          <t>Bank Mandiri</t>
        </is>
      </c>
      <c r="C4" t="n">
        <v>2023</v>
      </c>
      <c r="D4" t="inlineStr">
        <is>
          <t>FY</t>
        </is>
      </c>
      <c r="E4" t="inlineStr">
        <is>
          <t>IDR</t>
        </is>
      </c>
      <c r="F4" t="inlineStr">
        <is>
          <t>Triliun</t>
        </is>
      </c>
      <c r="G4" t="n">
        <v>127.454571</v>
      </c>
      <c r="I4" t="n">
        <v>55.060057</v>
      </c>
      <c r="J4" t="n">
        <v>589.9299999999999</v>
      </c>
      <c r="K4" t="n">
        <v>264.67</v>
      </c>
      <c r="S4" t="inlineStr">
        <is>
          <t>Data Keuangan 2021-2025</t>
        </is>
      </c>
      <c r="T4" t="inlineStr"/>
    </row>
    <row r="5">
      <c r="A5" t="inlineStr">
        <is>
          <t>BMRI</t>
        </is>
      </c>
      <c r="B5" t="inlineStr">
        <is>
          <t>Bank Mandiri</t>
        </is>
      </c>
      <c r="C5" t="n">
        <v>2024</v>
      </c>
      <c r="D5" t="inlineStr">
        <is>
          <t>FY</t>
        </is>
      </c>
      <c r="E5" t="inlineStr">
        <is>
          <t>IDR</t>
        </is>
      </c>
      <c r="F5" t="inlineStr">
        <is>
          <t>Triliun</t>
        </is>
      </c>
      <c r="G5" t="n">
        <v>134.735364</v>
      </c>
      <c r="I5" t="n">
        <v>55.782742</v>
      </c>
      <c r="J5" t="n">
        <v>597.67</v>
      </c>
      <c r="K5" t="n">
        <v>353.96</v>
      </c>
      <c r="S5" t="inlineStr">
        <is>
          <t>Data Keuangan 2021-2025</t>
        </is>
      </c>
      <c r="T5" t="inlineStr"/>
    </row>
    <row r="6">
      <c r="A6" t="inlineStr">
        <is>
          <t>BMRI</t>
        </is>
      </c>
      <c r="B6" t="inlineStr">
        <is>
          <t>Bank Mandiri</t>
        </is>
      </c>
      <c r="C6" t="n">
        <v>2025</v>
      </c>
      <c r="D6" t="inlineStr">
        <is>
          <t>FY</t>
        </is>
      </c>
      <c r="E6" t="inlineStr">
        <is>
          <t>IDR</t>
        </is>
      </c>
      <c r="F6" t="inlineStr">
        <is>
          <t>Triliun</t>
        </is>
      </c>
      <c r="G6" t="n">
        <v>144.817483</v>
      </c>
      <c r="I6" t="n">
        <v>56.29395</v>
      </c>
      <c r="J6" t="n">
        <v>603.23</v>
      </c>
      <c r="K6" t="n">
        <v>466.18</v>
      </c>
      <c r="S6" t="inlineStr">
        <is>
          <t>Data Keuangan 2021-2025</t>
        </is>
      </c>
      <c r="T6" t="inlineStr"/>
    </row>
    <row r="7">
      <c r="A7" t="inlineStr">
        <is>
          <t>BMRI</t>
        </is>
      </c>
      <c r="B7" t="inlineStr">
        <is>
          <t>Bank Mandiri</t>
        </is>
      </c>
      <c r="C7" t="n">
        <v>2026</v>
      </c>
      <c r="D7" t="inlineStr">
        <is>
          <t>TTM</t>
        </is>
      </c>
      <c r="E7" t="inlineStr">
        <is>
          <t>IDR</t>
        </is>
      </c>
      <c r="F7" t="inlineStr">
        <is>
          <t>Triliun</t>
        </is>
      </c>
      <c r="G7" t="n">
        <v>139.872457</v>
      </c>
      <c r="I7" t="n">
        <v>64.097809</v>
      </c>
      <c r="J7" t="n">
        <v>687.14</v>
      </c>
      <c r="K7" t="n">
        <v>476.96</v>
      </c>
      <c r="S7" t="inlineStr">
        <is>
          <t>Data Keuangan 2021-2025</t>
        </is>
      </c>
      <c r="T7" t="inlineStr"/>
    </row>
    <row r="8">
      <c r="A8" t="inlineStr">
        <is>
          <t>BBRI</t>
        </is>
      </c>
      <c r="B8" t="inlineStr">
        <is>
          <t>Bank Rakyat Indonesia</t>
        </is>
      </c>
      <c r="C8" t="n">
        <v>2021</v>
      </c>
      <c r="D8" t="inlineStr">
        <is>
          <t>FY</t>
        </is>
      </c>
      <c r="E8" t="inlineStr">
        <is>
          <t>IDR</t>
        </is>
      </c>
      <c r="F8" t="inlineStr">
        <is>
          <t>Triliun</t>
        </is>
      </c>
      <c r="G8" t="n">
        <v>111.585403</v>
      </c>
      <c r="I8" t="n">
        <v>31.066592</v>
      </c>
      <c r="J8" t="n">
        <v>237.96</v>
      </c>
      <c r="S8" t="inlineStr">
        <is>
          <t>Data Keuangan 2021-2025</t>
        </is>
      </c>
      <c r="T8" t="inlineStr"/>
    </row>
    <row r="9">
      <c r="A9" t="inlineStr">
        <is>
          <t>BBRI</t>
        </is>
      </c>
      <c r="B9" t="inlineStr">
        <is>
          <t>Bank Rakyat Indonesia</t>
        </is>
      </c>
      <c r="C9" t="n">
        <v>2022</v>
      </c>
      <c r="D9" t="inlineStr">
        <is>
          <t>FY</t>
        </is>
      </c>
      <c r="E9" t="inlineStr">
        <is>
          <t>IDR</t>
        </is>
      </c>
      <c r="F9" t="inlineStr">
        <is>
          <t>Triliun</t>
        </is>
      </c>
      <c r="G9" t="n">
        <v>125.990091</v>
      </c>
      <c r="I9" t="n">
        <v>51.170312</v>
      </c>
      <c r="J9" t="n">
        <v>338</v>
      </c>
      <c r="K9" t="n">
        <v>174.25</v>
      </c>
      <c r="S9" t="inlineStr">
        <is>
          <t>Data Keuangan 2021-2025</t>
        </is>
      </c>
      <c r="T9" t="inlineStr"/>
    </row>
    <row r="10">
      <c r="A10" t="inlineStr">
        <is>
          <t>BBRI</t>
        </is>
      </c>
      <c r="B10" t="inlineStr">
        <is>
          <t>Bank Rakyat Indonesia</t>
        </is>
      </c>
      <c r="C10" t="n">
        <v>2023</v>
      </c>
      <c r="D10" t="inlineStr">
        <is>
          <t>FY</t>
        </is>
      </c>
      <c r="E10" t="inlineStr">
        <is>
          <t>IDR</t>
        </is>
      </c>
      <c r="F10" t="inlineStr">
        <is>
          <t>Triliun</t>
        </is>
      </c>
      <c r="G10" t="n">
        <v>137.058491</v>
      </c>
      <c r="I10" t="n">
        <v>60.099863</v>
      </c>
      <c r="J10" t="n">
        <v>398</v>
      </c>
      <c r="K10" t="n">
        <v>288.22</v>
      </c>
      <c r="S10" t="inlineStr">
        <is>
          <t>Data Keuangan 2021-2025</t>
        </is>
      </c>
      <c r="T10" t="inlineStr"/>
    </row>
    <row r="11">
      <c r="A11" t="inlineStr">
        <is>
          <t>BBRI</t>
        </is>
      </c>
      <c r="B11" t="inlineStr">
        <is>
          <t>Bank Rakyat Indonesia</t>
        </is>
      </c>
      <c r="C11" t="n">
        <v>2024</v>
      </c>
      <c r="D11" t="inlineStr">
        <is>
          <t>FY</t>
        </is>
      </c>
      <c r="E11" t="inlineStr">
        <is>
          <t>IDR</t>
        </is>
      </c>
      <c r="F11" t="inlineStr">
        <is>
          <t>Triliun</t>
        </is>
      </c>
      <c r="G11" t="n">
        <v>131.253634</v>
      </c>
      <c r="I11" t="n">
        <v>59.944649</v>
      </c>
      <c r="J11" t="n">
        <v>397.69</v>
      </c>
      <c r="K11" t="n">
        <v>319</v>
      </c>
      <c r="S11" t="inlineStr">
        <is>
          <t>Data Keuangan 2021-2025</t>
        </is>
      </c>
      <c r="T11" t="inlineStr"/>
    </row>
    <row r="12">
      <c r="A12" t="inlineStr">
        <is>
          <t>BBRI</t>
        </is>
      </c>
      <c r="B12" t="inlineStr">
        <is>
          <t>Bank Rakyat Indonesia</t>
        </is>
      </c>
      <c r="C12" t="n">
        <v>2025</v>
      </c>
      <c r="D12" t="inlineStr">
        <is>
          <t>FY</t>
        </is>
      </c>
      <c r="E12" t="inlineStr">
        <is>
          <t>IDR</t>
        </is>
      </c>
      <c r="F12" t="inlineStr">
        <is>
          <t>Triliun</t>
        </is>
      </c>
      <c r="G12" t="n">
        <v>140.208835</v>
      </c>
      <c r="I12" t="n">
        <v>56.652384</v>
      </c>
      <c r="J12" t="n">
        <v>376</v>
      </c>
      <c r="K12" t="n">
        <v>345.4</v>
      </c>
      <c r="S12" t="inlineStr">
        <is>
          <t>Data Keuangan 2021-2025</t>
        </is>
      </c>
      <c r="T12" t="inlineStr"/>
    </row>
    <row r="13">
      <c r="A13" t="inlineStr">
        <is>
          <t>BBRI</t>
        </is>
      </c>
      <c r="B13" t="inlineStr">
        <is>
          <t>Bank Rakyat Indonesia</t>
        </is>
      </c>
      <c r="C13" t="n">
        <v>2026</v>
      </c>
      <c r="D13" t="inlineStr">
        <is>
          <t>TTM</t>
        </is>
      </c>
      <c r="E13" t="inlineStr">
        <is>
          <t>IDR</t>
        </is>
      </c>
      <c r="F13" t="inlineStr">
        <is>
          <t>Triliun</t>
        </is>
      </c>
      <c r="G13" t="n">
        <v>146.842701</v>
      </c>
      <c r="I13" t="n">
        <v>61.241085</v>
      </c>
      <c r="J13" t="n">
        <v>406.65</v>
      </c>
      <c r="K13" t="n">
        <v>346</v>
      </c>
      <c r="S13" t="inlineStr">
        <is>
          <t>Data Keuangan 2021-2025</t>
        </is>
      </c>
      <c r="T13" t="inlineStr"/>
    </row>
    <row r="14">
      <c r="A14" t="inlineStr">
        <is>
          <t>BBCA</t>
        </is>
      </c>
      <c r="B14" t="inlineStr">
        <is>
          <t>Bank Central Asia</t>
        </is>
      </c>
      <c r="C14" t="n">
        <v>2021</v>
      </c>
      <c r="D14" t="inlineStr">
        <is>
          <t>FY</t>
        </is>
      </c>
      <c r="E14" t="inlineStr">
        <is>
          <t>IDR</t>
        </is>
      </c>
      <c r="F14" t="inlineStr">
        <is>
          <t>Triliun</t>
        </is>
      </c>
      <c r="G14" t="n">
        <v>69.144054</v>
      </c>
      <c r="I14" t="n">
        <v>31.42266</v>
      </c>
      <c r="J14" t="n">
        <v>254.9</v>
      </c>
      <c r="K14" t="n">
        <v>25</v>
      </c>
      <c r="S14" t="inlineStr">
        <is>
          <t>Data Keuangan 2021-2025</t>
        </is>
      </c>
      <c r="T14" t="inlineStr"/>
    </row>
    <row r="15">
      <c r="A15" t="inlineStr">
        <is>
          <t>BBCA</t>
        </is>
      </c>
      <c r="B15" t="inlineStr">
        <is>
          <t>Bank Central Asia</t>
        </is>
      </c>
      <c r="C15" t="n">
        <v>2022</v>
      </c>
      <c r="D15" t="inlineStr">
        <is>
          <t>FY</t>
        </is>
      </c>
      <c r="E15" t="inlineStr">
        <is>
          <t>IDR</t>
        </is>
      </c>
      <c r="F15" t="inlineStr">
        <is>
          <t>Triliun</t>
        </is>
      </c>
      <c r="G15" t="n">
        <v>82.942762</v>
      </c>
      <c r="I15" t="n">
        <v>40.735722</v>
      </c>
      <c r="J15" t="n">
        <v>330</v>
      </c>
      <c r="K15" t="n">
        <v>155</v>
      </c>
      <c r="S15" t="inlineStr">
        <is>
          <t>Data Keuangan 2021-2025</t>
        </is>
      </c>
      <c r="T15" t="inlineStr"/>
    </row>
    <row r="16">
      <c r="A16" t="inlineStr">
        <is>
          <t>BBCA</t>
        </is>
      </c>
      <c r="B16" t="inlineStr">
        <is>
          <t>Bank Central Asia</t>
        </is>
      </c>
      <c r="C16" t="n">
        <v>2023</v>
      </c>
      <c r="D16" t="inlineStr">
        <is>
          <t>FY</t>
        </is>
      </c>
      <c r="E16" t="inlineStr">
        <is>
          <t>IDR</t>
        </is>
      </c>
      <c r="F16" t="inlineStr">
        <is>
          <t>Triliun</t>
        </is>
      </c>
      <c r="G16" t="n">
        <v>97.44462799999999</v>
      </c>
      <c r="I16" t="n">
        <v>48.639122</v>
      </c>
      <c r="J16" t="n">
        <v>394.56</v>
      </c>
      <c r="K16" t="n">
        <v>212.5</v>
      </c>
      <c r="S16" t="inlineStr">
        <is>
          <t>Data Keuangan 2021-2025</t>
        </is>
      </c>
      <c r="T16" t="inlineStr"/>
    </row>
    <row r="17">
      <c r="A17" t="inlineStr">
        <is>
          <t>BBCA</t>
        </is>
      </c>
      <c r="B17" t="inlineStr">
        <is>
          <t>Bank Central Asia</t>
        </is>
      </c>
      <c r="C17" t="n">
        <v>2024</v>
      </c>
      <c r="D17" t="inlineStr">
        <is>
          <t>FY</t>
        </is>
      </c>
      <c r="E17" t="inlineStr">
        <is>
          <t>IDR</t>
        </is>
      </c>
      <c r="F17" t="inlineStr">
        <is>
          <t>Triliun</t>
        </is>
      </c>
      <c r="G17" t="n">
        <v>104.516601</v>
      </c>
      <c r="I17" t="n">
        <v>54.836305</v>
      </c>
      <c r="J17" t="n">
        <v>444.83</v>
      </c>
      <c r="K17" t="n">
        <v>277.5</v>
      </c>
      <c r="S17" t="inlineStr">
        <is>
          <t>Data Keuangan 2021-2025</t>
        </is>
      </c>
      <c r="T17" t="inlineStr"/>
    </row>
    <row r="18">
      <c r="A18" t="inlineStr">
        <is>
          <t>BBCA</t>
        </is>
      </c>
      <c r="B18" t="inlineStr">
        <is>
          <t>Bank Central Asia</t>
        </is>
      </c>
      <c r="C18" t="n">
        <v>2025</v>
      </c>
      <c r="D18" t="inlineStr">
        <is>
          <t>FY</t>
        </is>
      </c>
      <c r="E18" t="inlineStr">
        <is>
          <t>IDR</t>
        </is>
      </c>
      <c r="F18" t="inlineStr">
        <is>
          <t>Triliun</t>
        </is>
      </c>
      <c r="G18" t="n">
        <v>107.985614</v>
      </c>
      <c r="I18" t="n">
        <v>57.537287</v>
      </c>
      <c r="J18" t="n">
        <v>466.85</v>
      </c>
      <c r="K18" t="n">
        <v>305</v>
      </c>
      <c r="S18" t="inlineStr">
        <is>
          <t>Data Keuangan 2021-2025</t>
        </is>
      </c>
      <c r="T18" t="inlineStr"/>
    </row>
    <row r="19">
      <c r="A19" t="inlineStr">
        <is>
          <t>BBCA</t>
        </is>
      </c>
      <c r="B19" t="inlineStr">
        <is>
          <t>Bank Central Asia</t>
        </is>
      </c>
      <c r="C19" t="n">
        <v>2026</v>
      </c>
      <c r="D19" t="inlineStr">
        <is>
          <t>TTM</t>
        </is>
      </c>
      <c r="E19" t="inlineStr">
        <is>
          <t>IDR</t>
        </is>
      </c>
      <c r="F19" t="inlineStr">
        <is>
          <t>Triliun</t>
        </is>
      </c>
      <c r="G19" t="n">
        <v>110.550506</v>
      </c>
      <c r="I19" t="n">
        <v>59.355699</v>
      </c>
      <c r="J19" t="n">
        <v>482.44</v>
      </c>
      <c r="K19" t="n">
        <v>381</v>
      </c>
      <c r="S19" t="inlineStr">
        <is>
          <t>Data Keuangan 2021-2025</t>
        </is>
      </c>
      <c r="T19" t="inlineStr"/>
    </row>
    <row r="20">
      <c r="A20" t="inlineStr">
        <is>
          <t>BJBR</t>
        </is>
      </c>
      <c r="B20" t="inlineStr">
        <is>
          <t>Bank BJB</t>
        </is>
      </c>
      <c r="C20" t="n">
        <v>2021</v>
      </c>
      <c r="D20" t="inlineStr">
        <is>
          <t>FY</t>
        </is>
      </c>
      <c r="E20" t="inlineStr">
        <is>
          <t>IDR</t>
        </is>
      </c>
      <c r="F20" t="inlineStr">
        <is>
          <t>Triliun</t>
        </is>
      </c>
      <c r="G20" t="n">
        <v>8.934495</v>
      </c>
      <c r="I20" t="n">
        <v>2.031858</v>
      </c>
      <c r="J20" t="n">
        <v>206.52</v>
      </c>
      <c r="S20" t="inlineStr">
        <is>
          <t>Data Keuangan 2021-2025</t>
        </is>
      </c>
      <c r="T20" t="inlineStr"/>
    </row>
    <row r="21">
      <c r="A21" t="inlineStr">
        <is>
          <t>BJBR</t>
        </is>
      </c>
      <c r="B21" t="inlineStr">
        <is>
          <t>Bank BJB</t>
        </is>
      </c>
      <c r="C21" t="n">
        <v>2022</v>
      </c>
      <c r="D21" t="inlineStr">
        <is>
          <t>FY</t>
        </is>
      </c>
      <c r="E21" t="inlineStr">
        <is>
          <t>IDR</t>
        </is>
      </c>
      <c r="F21" t="inlineStr">
        <is>
          <t>Triliun</t>
        </is>
      </c>
      <c r="G21" t="n">
        <v>9.730881999999999</v>
      </c>
      <c r="I21" t="n">
        <v>2.304376</v>
      </c>
      <c r="J21" t="n">
        <v>219.02</v>
      </c>
      <c r="K21" t="n">
        <v>99.11</v>
      </c>
      <c r="S21" t="inlineStr">
        <is>
          <t>Data Keuangan 2021-2025</t>
        </is>
      </c>
      <c r="T21" t="inlineStr"/>
    </row>
    <row r="22">
      <c r="A22" t="inlineStr">
        <is>
          <t>BJBR</t>
        </is>
      </c>
      <c r="B22" t="inlineStr">
        <is>
          <t>Bank BJB</t>
        </is>
      </c>
      <c r="C22" t="n">
        <v>2023</v>
      </c>
      <c r="D22" t="inlineStr">
        <is>
          <t>FY</t>
        </is>
      </c>
      <c r="E22" t="inlineStr">
        <is>
          <t>IDR</t>
        </is>
      </c>
      <c r="F22" t="inlineStr">
        <is>
          <t>Triliun</t>
        </is>
      </c>
      <c r="G22" t="n">
        <v>8.216450999999999</v>
      </c>
      <c r="I22" t="n">
        <v>1.778395</v>
      </c>
      <c r="J22" t="n">
        <v>169.03</v>
      </c>
      <c r="K22" t="n">
        <v>104.55</v>
      </c>
      <c r="S22" t="inlineStr">
        <is>
          <t>Data Keuangan 2021-2025</t>
        </is>
      </c>
      <c r="T22" t="inlineStr"/>
    </row>
    <row r="23">
      <c r="A23" t="inlineStr">
        <is>
          <t>BJBR</t>
        </is>
      </c>
      <c r="B23" t="inlineStr">
        <is>
          <t>Bank BJB</t>
        </is>
      </c>
      <c r="C23" t="n">
        <v>2024</v>
      </c>
      <c r="D23" t="inlineStr">
        <is>
          <t>FY</t>
        </is>
      </c>
      <c r="E23" t="inlineStr">
        <is>
          <t>IDR</t>
        </is>
      </c>
      <c r="F23" t="inlineStr">
        <is>
          <t>Triliun</t>
        </is>
      </c>
      <c r="G23" t="n">
        <v>7.991198</v>
      </c>
      <c r="I23" t="n">
        <v>1.369463</v>
      </c>
      <c r="J23" t="n">
        <v>130.16</v>
      </c>
      <c r="K23" t="n">
        <v>95.05</v>
      </c>
      <c r="S23" t="inlineStr">
        <is>
          <t>Data Keuangan 2021-2025</t>
        </is>
      </c>
      <c r="T23" t="inlineStr"/>
    </row>
    <row r="24">
      <c r="A24" t="inlineStr">
        <is>
          <t>BJBR</t>
        </is>
      </c>
      <c r="B24" t="inlineStr">
        <is>
          <t>Bank BJB</t>
        </is>
      </c>
      <c r="C24" t="n">
        <v>2025</v>
      </c>
      <c r="D24" t="inlineStr">
        <is>
          <t>FY</t>
        </is>
      </c>
      <c r="E24" t="inlineStr">
        <is>
          <t>IDR</t>
        </is>
      </c>
      <c r="F24" t="inlineStr">
        <is>
          <t>Triliun</t>
        </is>
      </c>
      <c r="G24" t="n">
        <v>9.071730000000001</v>
      </c>
      <c r="I24" t="n">
        <v>1.152816</v>
      </c>
      <c r="J24" t="n">
        <v>109.57</v>
      </c>
      <c r="K24" t="n">
        <v>85.25</v>
      </c>
      <c r="S24" t="inlineStr">
        <is>
          <t>Data Keuangan 2021-2025</t>
        </is>
      </c>
      <c r="T24" t="inlineStr"/>
    </row>
    <row r="25">
      <c r="A25" t="inlineStr">
        <is>
          <t>BJBR</t>
        </is>
      </c>
      <c r="B25" t="inlineStr">
        <is>
          <t>Bank BJB</t>
        </is>
      </c>
      <c r="C25" t="n">
        <v>2026</v>
      </c>
      <c r="D25" t="inlineStr">
        <is>
          <t>TTM</t>
        </is>
      </c>
      <c r="E25" t="inlineStr">
        <is>
          <t>IDR</t>
        </is>
      </c>
      <c r="F25" t="inlineStr">
        <is>
          <t>Triliun</t>
        </is>
      </c>
      <c r="G25" t="n">
        <v>9.283436</v>
      </c>
      <c r="I25" t="n">
        <v>1.442705</v>
      </c>
      <c r="J25" t="n">
        <v>137.12</v>
      </c>
      <c r="K25" t="n">
        <v>85.54000000000001</v>
      </c>
      <c r="L25" t="n">
        <v>171.7505952380952</v>
      </c>
      <c r="M25" t="n">
        <v>19.77</v>
      </c>
      <c r="N25" t="n">
        <v>43.64</v>
      </c>
      <c r="O25" t="n">
        <v>21.87</v>
      </c>
      <c r="S25" t="inlineStr">
        <is>
          <t>Data Keuangan 2021-2025</t>
        </is>
      </c>
      <c r="T25" t="inlineStr"/>
    </row>
    <row r="26">
      <c r="A26" t="inlineStr">
        <is>
          <t>BJTM</t>
        </is>
      </c>
      <c r="B26" t="inlineStr">
        <is>
          <t>Bank Jatim</t>
        </is>
      </c>
      <c r="C26" t="n">
        <v>2021</v>
      </c>
      <c r="D26" t="inlineStr">
        <is>
          <t>FY</t>
        </is>
      </c>
      <c r="E26" t="inlineStr">
        <is>
          <t>IDR</t>
        </is>
      </c>
      <c r="F26" t="inlineStr">
        <is>
          <t>Triliun</t>
        </is>
      </c>
      <c r="G26" t="n">
        <v>4.66892</v>
      </c>
      <c r="I26" t="n">
        <v>1.52307</v>
      </c>
      <c r="J26" t="n">
        <v>101.43</v>
      </c>
      <c r="S26" t="inlineStr">
        <is>
          <t>Data Keuangan 2021-2025</t>
        </is>
      </c>
      <c r="T26" t="inlineStr"/>
    </row>
    <row r="27">
      <c r="A27" t="inlineStr">
        <is>
          <t>BJTM</t>
        </is>
      </c>
      <c r="B27" t="inlineStr">
        <is>
          <t>Bank Jatim</t>
        </is>
      </c>
      <c r="C27" t="n">
        <v>2022</v>
      </c>
      <c r="D27" t="inlineStr">
        <is>
          <t>FY</t>
        </is>
      </c>
      <c r="E27" t="inlineStr">
        <is>
          <t>IDR</t>
        </is>
      </c>
      <c r="F27" t="inlineStr">
        <is>
          <t>Triliun</t>
        </is>
      </c>
      <c r="G27" t="n">
        <v>5.053997</v>
      </c>
      <c r="I27" t="n">
        <v>1.542824</v>
      </c>
      <c r="J27" t="n">
        <v>102.75</v>
      </c>
      <c r="K27" t="n">
        <v>52.11</v>
      </c>
      <c r="S27" t="inlineStr">
        <is>
          <t>Data Keuangan 2021-2025</t>
        </is>
      </c>
      <c r="T27" t="inlineStr"/>
    </row>
    <row r="28">
      <c r="A28" t="inlineStr">
        <is>
          <t>BJTM</t>
        </is>
      </c>
      <c r="B28" t="inlineStr">
        <is>
          <t>Bank Jatim</t>
        </is>
      </c>
      <c r="C28" t="n">
        <v>2023</v>
      </c>
      <c r="D28" t="inlineStr">
        <is>
          <t>FY</t>
        </is>
      </c>
      <c r="E28" t="inlineStr">
        <is>
          <t>IDR</t>
        </is>
      </c>
      <c r="F28" t="inlineStr">
        <is>
          <t>Triliun</t>
        </is>
      </c>
      <c r="G28" t="n">
        <v>4.995384</v>
      </c>
      <c r="I28" t="n">
        <v>1.470105</v>
      </c>
      <c r="J28" t="n">
        <v>97.91</v>
      </c>
      <c r="K28" t="n">
        <v>53.09</v>
      </c>
      <c r="S28" t="inlineStr">
        <is>
          <t>Data Keuangan 2021-2025</t>
        </is>
      </c>
      <c r="T28" t="inlineStr"/>
    </row>
    <row r="29">
      <c r="A29" t="inlineStr">
        <is>
          <t>BJTM</t>
        </is>
      </c>
      <c r="B29" t="inlineStr">
        <is>
          <t>Bank Jatim</t>
        </is>
      </c>
      <c r="C29" t="n">
        <v>2024</v>
      </c>
      <c r="D29" t="inlineStr">
        <is>
          <t>FY</t>
        </is>
      </c>
      <c r="E29" t="inlineStr">
        <is>
          <t>IDR</t>
        </is>
      </c>
      <c r="F29" t="inlineStr">
        <is>
          <t>Triliun</t>
        </is>
      </c>
      <c r="G29" t="n">
        <v>5.270241</v>
      </c>
      <c r="I29" t="n">
        <v>1.281718</v>
      </c>
      <c r="J29" t="n">
        <v>85.36</v>
      </c>
      <c r="K29" t="n">
        <v>54.39</v>
      </c>
      <c r="S29" t="inlineStr">
        <is>
          <t>Data Keuangan 2021-2025</t>
        </is>
      </c>
      <c r="T29" t="inlineStr"/>
    </row>
    <row r="30">
      <c r="A30" t="inlineStr">
        <is>
          <t>BJTM</t>
        </is>
      </c>
      <c r="B30" t="inlineStr">
        <is>
          <t>Bank Jatim</t>
        </is>
      </c>
      <c r="C30" t="n">
        <v>2025</v>
      </c>
      <c r="D30" t="inlineStr">
        <is>
          <t>FY</t>
        </is>
      </c>
      <c r="E30" t="inlineStr">
        <is>
          <t>IDR</t>
        </is>
      </c>
      <c r="F30" t="inlineStr">
        <is>
          <t>Triliun</t>
        </is>
      </c>
      <c r="G30" t="n">
        <v>6.342611</v>
      </c>
      <c r="I30" t="n">
        <v>1.545518</v>
      </c>
      <c r="J30" t="n">
        <v>102.93</v>
      </c>
      <c r="K30" t="n">
        <v>54.71</v>
      </c>
      <c r="S30" t="inlineStr">
        <is>
          <t>Data Keuangan 2021-2025</t>
        </is>
      </c>
      <c r="T30" t="inlineStr"/>
    </row>
    <row r="31">
      <c r="A31" t="inlineStr">
        <is>
          <t>BJTM</t>
        </is>
      </c>
      <c r="B31" t="inlineStr">
        <is>
          <t>Bank Jatim</t>
        </is>
      </c>
      <c r="C31" t="n">
        <v>2026</v>
      </c>
      <c r="D31" t="inlineStr">
        <is>
          <t>TTM</t>
        </is>
      </c>
      <c r="E31" t="inlineStr">
        <is>
          <t>IDR</t>
        </is>
      </c>
      <c r="F31" t="inlineStr">
        <is>
          <t>Triliun</t>
        </is>
      </c>
      <c r="G31" t="n">
        <v>7.886075</v>
      </c>
      <c r="I31" t="n">
        <v>1.56709</v>
      </c>
      <c r="J31" t="n">
        <v>104.36</v>
      </c>
      <c r="K31" t="n">
        <v>56.62</v>
      </c>
      <c r="L31" t="n">
        <v>107.3349315068493</v>
      </c>
      <c r="M31" t="n">
        <v>21.64</v>
      </c>
      <c r="N31" t="n">
        <v>15.1</v>
      </c>
      <c r="O31" t="n">
        <v>15.72</v>
      </c>
      <c r="S31" t="inlineStr">
        <is>
          <t>Data Keuangan 2021-2025</t>
        </is>
      </c>
      <c r="T31" t="inlineStr"/>
    </row>
    <row r="32">
      <c r="A32" t="inlineStr">
        <is>
          <t>TLKM</t>
        </is>
      </c>
      <c r="B32" t="inlineStr">
        <is>
          <t>Telkom Indonesia</t>
        </is>
      </c>
      <c r="C32" t="n">
        <v>2021</v>
      </c>
      <c r="D32" t="inlineStr">
        <is>
          <t>FY</t>
        </is>
      </c>
      <c r="E32" t="inlineStr">
        <is>
          <t>IDR</t>
        </is>
      </c>
      <c r="F32" t="inlineStr">
        <is>
          <t>Triliun</t>
        </is>
      </c>
      <c r="G32" t="n">
        <v>143.21</v>
      </c>
      <c r="I32" t="n">
        <v>24.877</v>
      </c>
      <c r="J32" t="n">
        <v>251.13</v>
      </c>
      <c r="S32" t="inlineStr">
        <is>
          <t>Data Keuangan 2021-2025</t>
        </is>
      </c>
      <c r="T32" t="inlineStr"/>
    </row>
    <row r="33">
      <c r="A33" t="inlineStr">
        <is>
          <t>TLKM</t>
        </is>
      </c>
      <c r="B33" t="inlineStr">
        <is>
          <t>Telkom Indonesia</t>
        </is>
      </c>
      <c r="C33" t="n">
        <v>2022</v>
      </c>
      <c r="D33" t="inlineStr">
        <is>
          <t>FY</t>
        </is>
      </c>
      <c r="E33" t="inlineStr">
        <is>
          <t>IDR</t>
        </is>
      </c>
      <c r="F33" t="inlineStr">
        <is>
          <t>Triliun</t>
        </is>
      </c>
      <c r="G33" t="n">
        <v>147.306</v>
      </c>
      <c r="I33" t="n">
        <v>20.736</v>
      </c>
      <c r="J33" t="n">
        <v>209.32</v>
      </c>
      <c r="K33" t="n">
        <v>149.97</v>
      </c>
      <c r="S33" t="inlineStr">
        <is>
          <t>Data Keuangan 2021-2025</t>
        </is>
      </c>
      <c r="T33" t="inlineStr"/>
    </row>
    <row r="34">
      <c r="A34" t="inlineStr">
        <is>
          <t>TLKM</t>
        </is>
      </c>
      <c r="B34" t="inlineStr">
        <is>
          <t>Telkom Indonesia</t>
        </is>
      </c>
      <c r="C34" t="n">
        <v>2023</v>
      </c>
      <c r="D34" t="inlineStr">
        <is>
          <t>FY</t>
        </is>
      </c>
      <c r="E34" t="inlineStr">
        <is>
          <t>IDR</t>
        </is>
      </c>
      <c r="F34" t="inlineStr">
        <is>
          <t>Triliun</t>
        </is>
      </c>
      <c r="G34" t="n">
        <v>149.216</v>
      </c>
      <c r="I34" t="n">
        <v>24.56</v>
      </c>
      <c r="J34" t="n">
        <v>247.92</v>
      </c>
      <c r="K34" t="n">
        <v>167.6</v>
      </c>
      <c r="S34" t="inlineStr">
        <is>
          <t>Data Keuangan 2021-2025</t>
        </is>
      </c>
      <c r="T34" t="inlineStr"/>
    </row>
    <row r="35">
      <c r="A35" t="inlineStr">
        <is>
          <t>TLKM</t>
        </is>
      </c>
      <c r="B35" t="inlineStr">
        <is>
          <t>Telkom Indonesia</t>
        </is>
      </c>
      <c r="C35" t="n">
        <v>2024</v>
      </c>
      <c r="D35" t="inlineStr">
        <is>
          <t>FY</t>
        </is>
      </c>
      <c r="E35" t="inlineStr">
        <is>
          <t>IDR</t>
        </is>
      </c>
      <c r="F35" t="inlineStr">
        <is>
          <t>Triliun</t>
        </is>
      </c>
      <c r="G35" t="n">
        <v>149.967</v>
      </c>
      <c r="I35" t="n">
        <v>22.403</v>
      </c>
      <c r="J35" t="n">
        <v>226.15</v>
      </c>
      <c r="K35" t="n">
        <v>178.5</v>
      </c>
      <c r="S35" t="inlineStr">
        <is>
          <t>Data Keuangan 2021-2025</t>
        </is>
      </c>
      <c r="T35" t="inlineStr"/>
    </row>
    <row r="36">
      <c r="A36" t="inlineStr">
        <is>
          <t>TLKM</t>
        </is>
      </c>
      <c r="B36" t="inlineStr">
        <is>
          <t>Telkom Indonesia</t>
        </is>
      </c>
      <c r="C36" t="n">
        <v>2025</v>
      </c>
      <c r="D36" t="inlineStr">
        <is>
          <t>FY</t>
        </is>
      </c>
      <c r="E36" t="inlineStr">
        <is>
          <t>IDR</t>
        </is>
      </c>
      <c r="F36" t="inlineStr">
        <is>
          <t>Triliun</t>
        </is>
      </c>
      <c r="G36" t="n">
        <v>146.742</v>
      </c>
      <c r="I36" t="n">
        <v>17.814</v>
      </c>
      <c r="J36" t="n">
        <v>179.83</v>
      </c>
      <c r="K36" t="n">
        <v>212.47</v>
      </c>
      <c r="S36" t="inlineStr">
        <is>
          <t>Data Keuangan 2021-2025</t>
        </is>
      </c>
      <c r="T36" t="inlineStr"/>
    </row>
    <row r="37">
      <c r="A37" t="inlineStr">
        <is>
          <t>TLKM</t>
        </is>
      </c>
      <c r="B37" t="inlineStr">
        <is>
          <t>Telkom Indonesia</t>
        </is>
      </c>
      <c r="C37" t="n">
        <v>2026</v>
      </c>
      <c r="D37" t="inlineStr">
        <is>
          <t>TTM</t>
        </is>
      </c>
      <c r="E37" t="inlineStr">
        <is>
          <t>IDR</t>
        </is>
      </c>
      <c r="F37" t="inlineStr">
        <is>
          <t>Triliun</t>
        </is>
      </c>
      <c r="G37" t="n">
        <v>149.616</v>
      </c>
      <c r="I37" t="n">
        <v>17.964</v>
      </c>
      <c r="J37" t="n">
        <v>181.57</v>
      </c>
      <c r="K37" t="n">
        <v>223.17</v>
      </c>
      <c r="L37" t="n">
        <v>236.9920844327176</v>
      </c>
      <c r="M37" t="n">
        <v>134.85</v>
      </c>
      <c r="N37" t="n">
        <v>80.89</v>
      </c>
      <c r="O37" t="n">
        <v>56.48</v>
      </c>
      <c r="S37" t="inlineStr">
        <is>
          <t>Data Keuangan 2021-2025</t>
        </is>
      </c>
      <c r="T37" t="inlineStr"/>
    </row>
    <row r="38">
      <c r="A38" t="inlineStr">
        <is>
          <t>HMSP</t>
        </is>
      </c>
      <c r="B38" t="inlineStr">
        <is>
          <t>HM Sampoerna</t>
        </is>
      </c>
      <c r="C38" t="n">
        <v>2021</v>
      </c>
      <c r="D38" t="inlineStr">
        <is>
          <t>FY</t>
        </is>
      </c>
      <c r="E38" t="inlineStr">
        <is>
          <t>IDR</t>
        </is>
      </c>
      <c r="F38" t="inlineStr">
        <is>
          <t>Triliun</t>
        </is>
      </c>
      <c r="G38" t="n">
        <v>41.512611</v>
      </c>
      <c r="I38" t="n">
        <v>7.137097</v>
      </c>
      <c r="J38" t="n">
        <v>61.36</v>
      </c>
      <c r="K38" t="n">
        <v>72.8</v>
      </c>
      <c r="S38" t="inlineStr">
        <is>
          <t>Data Keuangan 2021-2025</t>
        </is>
      </c>
      <c r="T38" t="inlineStr"/>
    </row>
    <row r="39">
      <c r="A39" t="inlineStr">
        <is>
          <t>HMSP</t>
        </is>
      </c>
      <c r="B39" t="inlineStr">
        <is>
          <t>HM Sampoerna</t>
        </is>
      </c>
      <c r="C39" t="n">
        <v>2022</v>
      </c>
      <c r="D39" t="inlineStr">
        <is>
          <t>FY</t>
        </is>
      </c>
      <c r="E39" t="inlineStr">
        <is>
          <t>IDR</t>
        </is>
      </c>
      <c r="F39" t="inlineStr">
        <is>
          <t>Triliun</t>
        </is>
      </c>
      <c r="G39" t="n">
        <v>45.616356</v>
      </c>
      <c r="I39" t="n">
        <v>6.323744</v>
      </c>
      <c r="J39" t="n">
        <v>54.37</v>
      </c>
      <c r="K39" t="n">
        <v>63.3</v>
      </c>
      <c r="S39" t="inlineStr">
        <is>
          <t>Data Keuangan 2021-2025</t>
        </is>
      </c>
      <c r="T39" t="inlineStr"/>
    </row>
    <row r="40">
      <c r="A40" t="inlineStr">
        <is>
          <t>HMSP</t>
        </is>
      </c>
      <c r="B40" t="inlineStr">
        <is>
          <t>HM Sampoerna</t>
        </is>
      </c>
      <c r="C40" t="n">
        <v>2023</v>
      </c>
      <c r="D40" t="inlineStr">
        <is>
          <t>FY</t>
        </is>
      </c>
      <c r="E40" t="inlineStr">
        <is>
          <t>IDR</t>
        </is>
      </c>
      <c r="F40" t="inlineStr">
        <is>
          <t>Triliun</t>
        </is>
      </c>
      <c r="G40" t="n">
        <v>53.106365</v>
      </c>
      <c r="I40" t="n">
        <v>8.096811000000001</v>
      </c>
      <c r="J40" t="n">
        <v>69.61</v>
      </c>
      <c r="K40" t="n">
        <v>54.7</v>
      </c>
      <c r="S40" t="inlineStr">
        <is>
          <t>Data Keuangan 2021-2025</t>
        </is>
      </c>
      <c r="T40" t="inlineStr"/>
    </row>
    <row r="41">
      <c r="A41" t="inlineStr">
        <is>
          <t>HMSP</t>
        </is>
      </c>
      <c r="B41" t="inlineStr">
        <is>
          <t>HM Sampoerna</t>
        </is>
      </c>
      <c r="C41" t="n">
        <v>2024</v>
      </c>
      <c r="D41" t="inlineStr">
        <is>
          <t>FY</t>
        </is>
      </c>
      <c r="E41" t="inlineStr">
        <is>
          <t>IDR</t>
        </is>
      </c>
      <c r="F41" t="inlineStr">
        <is>
          <t>Triliun</t>
        </is>
      </c>
      <c r="G41" t="n">
        <v>53.604073</v>
      </c>
      <c r="I41" t="n">
        <v>6.645774</v>
      </c>
      <c r="J41" t="n">
        <v>57.13</v>
      </c>
      <c r="K41" t="n">
        <v>69.3</v>
      </c>
      <c r="S41" t="inlineStr">
        <is>
          <t>Data Keuangan 2021-2025</t>
        </is>
      </c>
      <c r="T41" t="inlineStr"/>
    </row>
    <row r="42">
      <c r="A42" t="inlineStr">
        <is>
          <t>HMSP</t>
        </is>
      </c>
      <c r="B42" t="inlineStr">
        <is>
          <t>HM Sampoerna</t>
        </is>
      </c>
      <c r="C42" t="n">
        <v>2025</v>
      </c>
      <c r="D42" t="inlineStr">
        <is>
          <t>FY</t>
        </is>
      </c>
      <c r="E42" t="inlineStr">
        <is>
          <t>IDR</t>
        </is>
      </c>
      <c r="F42" t="inlineStr">
        <is>
          <t>Triliun</t>
        </is>
      </c>
      <c r="G42" t="n">
        <v>48.532559</v>
      </c>
      <c r="I42" t="n">
        <v>6.609456</v>
      </c>
      <c r="J42" t="n">
        <v>56.82</v>
      </c>
      <c r="K42" t="n">
        <v>56.2</v>
      </c>
      <c r="S42" t="inlineStr">
        <is>
          <t>Data Keuangan 2021-2025</t>
        </is>
      </c>
      <c r="T42" t="inlineStr"/>
    </row>
    <row r="43">
      <c r="A43" t="inlineStr">
        <is>
          <t>HMSP</t>
        </is>
      </c>
      <c r="B43" t="inlineStr">
        <is>
          <t>HM Sampoerna</t>
        </is>
      </c>
      <c r="C43" t="n">
        <v>2026</v>
      </c>
      <c r="D43" t="inlineStr">
        <is>
          <t>TTM</t>
        </is>
      </c>
      <c r="E43" t="inlineStr">
        <is>
          <t>IDR</t>
        </is>
      </c>
      <c r="F43" t="inlineStr">
        <is>
          <t>Triliun</t>
        </is>
      </c>
      <c r="G43" t="n">
        <v>52.301117</v>
      </c>
      <c r="I43" t="n">
        <v>8.613279</v>
      </c>
      <c r="J43" t="n">
        <v>73.73</v>
      </c>
      <c r="K43" t="n">
        <v>56.3</v>
      </c>
      <c r="S43" t="inlineStr">
        <is>
          <t>Data Keuangan 2021-2025</t>
        </is>
      </c>
      <c r="T43" t="inlineStr"/>
    </row>
    <row r="44">
      <c r="A44" t="inlineStr">
        <is>
          <t>CLEO</t>
        </is>
      </c>
      <c r="B44" t="inlineStr">
        <is>
          <t>Sariguna Primatirta</t>
        </is>
      </c>
      <c r="C44" t="n">
        <v>2021</v>
      </c>
      <c r="D44" t="inlineStr">
        <is>
          <t>FY</t>
        </is>
      </c>
      <c r="E44" t="inlineStr">
        <is>
          <t>IDR</t>
        </is>
      </c>
      <c r="F44" t="inlineStr">
        <is>
          <t>Triliun</t>
        </is>
      </c>
      <c r="G44" t="n">
        <v>1.10352</v>
      </c>
      <c r="I44" t="n">
        <v>0.180712</v>
      </c>
      <c r="J44" t="n">
        <v>7.53</v>
      </c>
      <c r="K44" t="n">
        <v>1.25</v>
      </c>
      <c r="S44" t="inlineStr">
        <is>
          <t>Data Keuangan 2021-2025</t>
        </is>
      </c>
      <c r="T44" t="inlineStr"/>
    </row>
    <row r="45">
      <c r="A45" t="inlineStr">
        <is>
          <t>CLEO</t>
        </is>
      </c>
      <c r="B45" t="inlineStr">
        <is>
          <t>Sariguna Primatirta</t>
        </is>
      </c>
      <c r="C45" t="n">
        <v>2022</v>
      </c>
      <c r="D45" t="inlineStr">
        <is>
          <t>FY</t>
        </is>
      </c>
      <c r="E45" t="inlineStr">
        <is>
          <t>IDR</t>
        </is>
      </c>
      <c r="F45" t="inlineStr">
        <is>
          <t>Triliun</t>
        </is>
      </c>
      <c r="G45" t="n">
        <v>1.674054</v>
      </c>
      <c r="I45" t="n">
        <v>0.195466</v>
      </c>
      <c r="J45" t="n">
        <v>8</v>
      </c>
      <c r="K45" t="n">
        <v>0.5</v>
      </c>
      <c r="S45" t="inlineStr">
        <is>
          <t>Data Keuangan 2021-2025</t>
        </is>
      </c>
      <c r="T45" t="inlineStr"/>
    </row>
    <row r="46">
      <c r="A46" t="inlineStr">
        <is>
          <t>CLEO</t>
        </is>
      </c>
      <c r="B46" t="inlineStr">
        <is>
          <t>Sariguna Primatirta</t>
        </is>
      </c>
      <c r="C46" t="n">
        <v>2023</v>
      </c>
      <c r="D46" t="inlineStr">
        <is>
          <t>FY</t>
        </is>
      </c>
      <c r="E46" t="inlineStr">
        <is>
          <t>IDR</t>
        </is>
      </c>
      <c r="F46" t="inlineStr">
        <is>
          <t>Triliun</t>
        </is>
      </c>
      <c r="G46" t="n">
        <v>2.090116</v>
      </c>
      <c r="I46" t="n">
        <v>0.323991</v>
      </c>
      <c r="J46" t="n">
        <v>13.54</v>
      </c>
      <c r="K46" t="n">
        <v>0.825</v>
      </c>
      <c r="S46" t="inlineStr">
        <is>
          <t>Data Keuangan 2021-2025</t>
        </is>
      </c>
      <c r="T46" t="inlineStr"/>
    </row>
    <row r="47">
      <c r="A47" t="inlineStr">
        <is>
          <t>CLEO</t>
        </is>
      </c>
      <c r="B47" t="inlineStr">
        <is>
          <t>Sariguna Primatirta</t>
        </is>
      </c>
      <c r="C47" t="n">
        <v>2024</v>
      </c>
      <c r="D47" t="inlineStr">
        <is>
          <t>FY</t>
        </is>
      </c>
      <c r="E47" t="inlineStr">
        <is>
          <t>IDR</t>
        </is>
      </c>
      <c r="F47" t="inlineStr">
        <is>
          <t>Triliun</t>
        </is>
      </c>
      <c r="G47" t="n">
        <v>2.696814</v>
      </c>
      <c r="I47" t="n">
        <v>0.465157</v>
      </c>
      <c r="J47" t="n">
        <v>19.45</v>
      </c>
      <c r="K47" t="n">
        <v>2.525</v>
      </c>
      <c r="S47" t="inlineStr">
        <is>
          <t>Data Keuangan 2021-2025</t>
        </is>
      </c>
      <c r="T47" t="inlineStr"/>
    </row>
    <row r="48">
      <c r="A48" t="inlineStr">
        <is>
          <t>CLEO</t>
        </is>
      </c>
      <c r="B48" t="inlineStr">
        <is>
          <t>Sariguna Primatirta</t>
        </is>
      </c>
      <c r="C48" t="n">
        <v>2025</v>
      </c>
      <c r="D48" t="inlineStr">
        <is>
          <t>FY</t>
        </is>
      </c>
      <c r="E48" t="inlineStr">
        <is>
          <t>IDR</t>
        </is>
      </c>
      <c r="F48" t="inlineStr">
        <is>
          <t>Triliun</t>
        </is>
      </c>
      <c r="G48" t="n">
        <v>2.825631</v>
      </c>
      <c r="I48" t="n">
        <v>0.381821</v>
      </c>
      <c r="J48" t="n">
        <v>15.91</v>
      </c>
      <c r="K48" t="n">
        <v>5</v>
      </c>
      <c r="S48" t="inlineStr">
        <is>
          <t>Data Keuangan 2021-2025</t>
        </is>
      </c>
      <c r="T48" t="inlineStr"/>
    </row>
    <row r="49">
      <c r="A49" t="inlineStr">
        <is>
          <t>CLEO</t>
        </is>
      </c>
      <c r="B49" t="inlineStr">
        <is>
          <t>Sariguna Primatirta</t>
        </is>
      </c>
      <c r="C49" t="n">
        <v>2026</v>
      </c>
      <c r="D49" t="inlineStr">
        <is>
          <t>TTM</t>
        </is>
      </c>
      <c r="E49" t="inlineStr">
        <is>
          <t>IDR</t>
        </is>
      </c>
      <c r="F49" t="inlineStr">
        <is>
          <t>Triliun</t>
        </is>
      </c>
      <c r="G49" t="n">
        <v>3.150473</v>
      </c>
      <c r="I49" t="n">
        <v>0.430099</v>
      </c>
      <c r="J49" t="n">
        <v>17.92</v>
      </c>
      <c r="K49" t="n">
        <v>2.5</v>
      </c>
      <c r="S49" t="inlineStr">
        <is>
          <t>Data Keuangan 2021-2025</t>
        </is>
      </c>
      <c r="T49" t="inlineStr"/>
    </row>
    <row r="50">
      <c r="A50" t="inlineStr">
        <is>
          <t>ADRO</t>
        </is>
      </c>
      <c r="B50" t="inlineStr">
        <is>
          <t>Alamtri Resources</t>
        </is>
      </c>
      <c r="C50" t="n">
        <v>2021</v>
      </c>
      <c r="D50" t="inlineStr">
        <is>
          <t>FY</t>
        </is>
      </c>
      <c r="E50" t="inlineStr">
        <is>
          <t>USD</t>
        </is>
      </c>
      <c r="F50" t="inlineStr">
        <is>
          <t>Juta</t>
        </is>
      </c>
      <c r="G50" t="n">
        <v>3993</v>
      </c>
      <c r="I50" t="n">
        <v>933.49</v>
      </c>
      <c r="K50" t="n">
        <v>226.44</v>
      </c>
      <c r="S50" t="inlineStr">
        <is>
          <t>Data Keuangan 2021-2025</t>
        </is>
      </c>
      <c r="T50" t="inlineStr">
        <is>
          <t>ADRO/PGEO/POWR dalam USD juta</t>
        </is>
      </c>
    </row>
    <row r="51">
      <c r="A51" t="inlineStr">
        <is>
          <t>ADRO</t>
        </is>
      </c>
      <c r="B51" t="inlineStr">
        <is>
          <t>Alamtri Resources</t>
        </is>
      </c>
      <c r="C51" t="n">
        <v>2022</v>
      </c>
      <c r="D51" t="inlineStr">
        <is>
          <t>FY</t>
        </is>
      </c>
      <c r="E51" t="inlineStr">
        <is>
          <t>USD</t>
        </is>
      </c>
      <c r="F51" t="inlineStr">
        <is>
          <t>Juta</t>
        </is>
      </c>
      <c r="G51" t="n">
        <v>8102</v>
      </c>
      <c r="I51" t="n">
        <v>2493</v>
      </c>
      <c r="K51" t="n">
        <v>141.39</v>
      </c>
      <c r="S51" t="inlineStr">
        <is>
          <t>Data Keuangan 2021-2025</t>
        </is>
      </c>
      <c r="T51" t="inlineStr">
        <is>
          <t>ADRO/PGEO/POWR dalam USD juta</t>
        </is>
      </c>
    </row>
    <row r="52">
      <c r="A52" t="inlineStr">
        <is>
          <t>ADRO</t>
        </is>
      </c>
      <c r="B52" t="inlineStr">
        <is>
          <t>Alamtri Resources</t>
        </is>
      </c>
      <c r="C52" t="n">
        <v>2023</v>
      </c>
      <c r="D52" t="inlineStr">
        <is>
          <t>FY</t>
        </is>
      </c>
      <c r="E52" t="inlineStr">
        <is>
          <t>USD</t>
        </is>
      </c>
      <c r="F52" t="inlineStr">
        <is>
          <t>Juta</t>
        </is>
      </c>
      <c r="G52" t="n">
        <v>2135</v>
      </c>
      <c r="I52" t="n">
        <v>1641</v>
      </c>
      <c r="K52" t="n">
        <v>692.04</v>
      </c>
      <c r="S52" t="inlineStr">
        <is>
          <t>Data Keuangan 2021-2025</t>
        </is>
      </c>
      <c r="T52" t="inlineStr">
        <is>
          <t>ADRO/PGEO/POWR dalam USD juta</t>
        </is>
      </c>
    </row>
    <row r="53">
      <c r="A53" t="inlineStr">
        <is>
          <t>ADRO</t>
        </is>
      </c>
      <c r="B53" t="inlineStr">
        <is>
          <t>Alamtri Resources</t>
        </is>
      </c>
      <c r="C53" t="n">
        <v>2024</v>
      </c>
      <c r="D53" t="inlineStr">
        <is>
          <t>FY</t>
        </is>
      </c>
      <c r="E53" t="inlineStr">
        <is>
          <t>USD</t>
        </is>
      </c>
      <c r="F53" t="inlineStr">
        <is>
          <t>Juta</t>
        </is>
      </c>
      <c r="G53" t="n">
        <v>2079</v>
      </c>
      <c r="I53" t="n">
        <v>1380</v>
      </c>
      <c r="K53" t="n">
        <v>1674.33</v>
      </c>
      <c r="S53" t="inlineStr">
        <is>
          <t>Data Keuangan 2021-2025</t>
        </is>
      </c>
      <c r="T53" t="inlineStr">
        <is>
          <t>ADRO/PGEO/POWR dalam USD juta</t>
        </is>
      </c>
    </row>
    <row r="54">
      <c r="A54" t="inlineStr">
        <is>
          <t>ADRO</t>
        </is>
      </c>
      <c r="B54" t="inlineStr">
        <is>
          <t>Alamtri Resources</t>
        </is>
      </c>
      <c r="C54" t="n">
        <v>2025</v>
      </c>
      <c r="D54" t="inlineStr">
        <is>
          <t>FY</t>
        </is>
      </c>
      <c r="E54" t="inlineStr">
        <is>
          <t>USD</t>
        </is>
      </c>
      <c r="F54" t="inlineStr">
        <is>
          <t>Juta</t>
        </is>
      </c>
      <c r="G54" t="n">
        <v>1874</v>
      </c>
      <c r="I54" t="n">
        <v>447.69</v>
      </c>
      <c r="K54" t="n">
        <v>311.83</v>
      </c>
      <c r="S54" t="inlineStr">
        <is>
          <t>Data Keuangan 2021-2025</t>
        </is>
      </c>
      <c r="T54" t="inlineStr">
        <is>
          <t>ADRO/PGEO/POWR dalam USD juta</t>
        </is>
      </c>
    </row>
    <row r="55">
      <c r="A55" t="inlineStr">
        <is>
          <t>ADRO</t>
        </is>
      </c>
      <c r="B55" t="inlineStr">
        <is>
          <t>Alamtri Resources</t>
        </is>
      </c>
      <c r="C55" t="n">
        <v>2026</v>
      </c>
      <c r="D55" t="inlineStr">
        <is>
          <t>TTM</t>
        </is>
      </c>
      <c r="E55" t="inlineStr">
        <is>
          <t>USD</t>
        </is>
      </c>
      <c r="F55" t="inlineStr">
        <is>
          <t>Juta</t>
        </is>
      </c>
      <c r="I55" t="n">
        <v>582.12</v>
      </c>
      <c r="J55" t="n">
        <v>361.18</v>
      </c>
      <c r="K55" t="n">
        <v>263.4</v>
      </c>
      <c r="S55" t="inlineStr">
        <is>
          <t>Data Keuangan 2021-2025</t>
        </is>
      </c>
      <c r="T55" t="inlineStr">
        <is>
          <t>ADRO/PGEO/POWR dalam USD juta</t>
        </is>
      </c>
    </row>
    <row r="56">
      <c r="A56" t="inlineStr">
        <is>
          <t>PTBA</t>
        </is>
      </c>
      <c r="B56" t="inlineStr">
        <is>
          <t>Bukit Asam</t>
        </is>
      </c>
      <c r="C56" t="n">
        <v>2021</v>
      </c>
      <c r="D56" t="inlineStr">
        <is>
          <t>FY</t>
        </is>
      </c>
      <c r="E56" t="inlineStr">
        <is>
          <t>IDR</t>
        </is>
      </c>
      <c r="F56" t="inlineStr">
        <is>
          <t>Triliun</t>
        </is>
      </c>
      <c r="G56" t="n">
        <v>29.261468</v>
      </c>
      <c r="I56" t="n">
        <v>7.909113</v>
      </c>
      <c r="J56" t="n">
        <v>701.91</v>
      </c>
      <c r="S56" t="inlineStr">
        <is>
          <t>Data Keuangan 2021-2025</t>
        </is>
      </c>
      <c r="T56" t="inlineStr"/>
    </row>
    <row r="57">
      <c r="A57" t="inlineStr">
        <is>
          <t>PTBA</t>
        </is>
      </c>
      <c r="B57" t="inlineStr">
        <is>
          <t>Bukit Asam</t>
        </is>
      </c>
      <c r="C57" t="n">
        <v>2022</v>
      </c>
      <c r="D57" t="inlineStr">
        <is>
          <t>FY</t>
        </is>
      </c>
      <c r="E57" t="inlineStr">
        <is>
          <t>IDR</t>
        </is>
      </c>
      <c r="F57" t="inlineStr">
        <is>
          <t>Triliun</t>
        </is>
      </c>
      <c r="G57" t="n">
        <v>42.64859</v>
      </c>
      <c r="I57" t="n">
        <v>12.567582</v>
      </c>
      <c r="J57" t="n">
        <v>1094</v>
      </c>
      <c r="K57" t="n">
        <v>688.52</v>
      </c>
      <c r="S57" t="inlineStr">
        <is>
          <t>Data Keuangan 2021-2025</t>
        </is>
      </c>
      <c r="T57" t="inlineStr"/>
    </row>
    <row r="58">
      <c r="A58" t="inlineStr">
        <is>
          <t>PTBA</t>
        </is>
      </c>
      <c r="B58" t="inlineStr">
        <is>
          <t>Bukit Asam</t>
        </is>
      </c>
      <c r="C58" t="n">
        <v>2023</v>
      </c>
      <c r="D58" t="inlineStr">
        <is>
          <t>FY</t>
        </is>
      </c>
      <c r="E58" t="inlineStr">
        <is>
          <t>IDR</t>
        </is>
      </c>
      <c r="F58" t="inlineStr">
        <is>
          <t>Triliun</t>
        </is>
      </c>
      <c r="G58" t="n">
        <v>38.488867</v>
      </c>
      <c r="I58" t="n">
        <v>6.105856</v>
      </c>
      <c r="J58" t="n">
        <v>531.54</v>
      </c>
      <c r="K58" t="n">
        <v>1094.05</v>
      </c>
      <c r="S58" t="inlineStr">
        <is>
          <t>Data Keuangan 2021-2025</t>
        </is>
      </c>
      <c r="T58" t="inlineStr"/>
    </row>
    <row r="59">
      <c r="A59" t="inlineStr">
        <is>
          <t>PTBA</t>
        </is>
      </c>
      <c r="B59" t="inlineStr">
        <is>
          <t>Bukit Asam</t>
        </is>
      </c>
      <c r="C59" t="n">
        <v>2024</v>
      </c>
      <c r="D59" t="inlineStr">
        <is>
          <t>FY</t>
        </is>
      </c>
      <c r="E59" t="inlineStr">
        <is>
          <t>IDR</t>
        </is>
      </c>
      <c r="F59" t="inlineStr">
        <is>
          <t>Triliun</t>
        </is>
      </c>
      <c r="G59" t="n">
        <v>42.764968</v>
      </c>
      <c r="I59" t="n">
        <v>5.10372</v>
      </c>
      <c r="J59" t="n">
        <v>443.51</v>
      </c>
      <c r="K59" t="n">
        <v>397.71</v>
      </c>
      <c r="S59" t="inlineStr">
        <is>
          <t>Data Keuangan 2021-2025</t>
        </is>
      </c>
      <c r="T59" t="inlineStr"/>
    </row>
    <row r="60">
      <c r="A60" t="inlineStr">
        <is>
          <t>PTBA</t>
        </is>
      </c>
      <c r="B60" t="inlineStr">
        <is>
          <t>Bukit Asam</t>
        </is>
      </c>
      <c r="C60" t="n">
        <v>2025</v>
      </c>
      <c r="D60" t="inlineStr">
        <is>
          <t>FY</t>
        </is>
      </c>
      <c r="E60" t="inlineStr">
        <is>
          <t>IDR</t>
        </is>
      </c>
      <c r="F60" t="inlineStr">
        <is>
          <t>Triliun</t>
        </is>
      </c>
      <c r="G60" t="n">
        <v>42.651724</v>
      </c>
      <c r="I60" t="n">
        <v>2.929957</v>
      </c>
      <c r="J60" t="n">
        <v>254</v>
      </c>
      <c r="K60" t="n">
        <v>332.44</v>
      </c>
      <c r="S60" t="inlineStr">
        <is>
          <t>Data Keuangan 2021-2025</t>
        </is>
      </c>
      <c r="T60" t="inlineStr"/>
    </row>
    <row r="61">
      <c r="A61" t="inlineStr">
        <is>
          <t>PTBA</t>
        </is>
      </c>
      <c r="B61" t="inlineStr">
        <is>
          <t>Bukit Asam</t>
        </is>
      </c>
      <c r="C61" t="n">
        <v>2026</v>
      </c>
      <c r="D61" t="inlineStr">
        <is>
          <t>TTM</t>
        </is>
      </c>
      <c r="E61" t="inlineStr">
        <is>
          <t>IDR</t>
        </is>
      </c>
      <c r="F61" t="inlineStr">
        <is>
          <t>Triliun</t>
        </is>
      </c>
      <c r="G61" t="n">
        <v>44.227234</v>
      </c>
      <c r="I61" t="n">
        <v>4.746812</v>
      </c>
      <c r="J61" t="n">
        <v>411.7</v>
      </c>
      <c r="K61" t="n">
        <v>114.51</v>
      </c>
      <c r="L61" t="n">
        <v>70.01197640117995</v>
      </c>
      <c r="M61" t="n">
        <v>25.34</v>
      </c>
      <c r="N61" t="n">
        <v>2.99</v>
      </c>
      <c r="O61" t="n">
        <v>7.3</v>
      </c>
      <c r="S61" t="inlineStr">
        <is>
          <t>Data Keuangan 2021-2025</t>
        </is>
      </c>
      <c r="T61" t="inlineStr"/>
    </row>
    <row r="62">
      <c r="A62" t="inlineStr">
        <is>
          <t>PGEO</t>
        </is>
      </c>
      <c r="B62" t="inlineStr">
        <is>
          <t>Pertamina Geothermal</t>
        </is>
      </c>
      <c r="C62" t="n">
        <v>2021</v>
      </c>
      <c r="D62" t="inlineStr">
        <is>
          <t>FY</t>
        </is>
      </c>
      <c r="E62" t="inlineStr">
        <is>
          <t>USD</t>
        </is>
      </c>
      <c r="F62" t="inlineStr">
        <is>
          <t>Juta</t>
        </is>
      </c>
      <c r="G62" t="n">
        <v>368.82</v>
      </c>
      <c r="I62" t="n">
        <v>85.08</v>
      </c>
      <c r="S62" t="inlineStr">
        <is>
          <t>Data Keuangan 2021-2025</t>
        </is>
      </c>
      <c r="T62" t="inlineStr">
        <is>
          <t>ADRO/PGEO/POWR dalam USD juta</t>
        </is>
      </c>
    </row>
    <row r="63">
      <c r="A63" t="inlineStr">
        <is>
          <t>PGEO</t>
        </is>
      </c>
      <c r="B63" t="inlineStr">
        <is>
          <t>Pertamina Geothermal</t>
        </is>
      </c>
      <c r="C63" t="n">
        <v>2022</v>
      </c>
      <c r="D63" t="inlineStr">
        <is>
          <t>FY</t>
        </is>
      </c>
      <c r="E63" t="inlineStr">
        <is>
          <t>USD</t>
        </is>
      </c>
      <c r="F63" t="inlineStr">
        <is>
          <t>Juta</t>
        </is>
      </c>
      <c r="G63" t="n">
        <v>386.07</v>
      </c>
      <c r="I63" t="n">
        <v>127.34</v>
      </c>
      <c r="S63" t="inlineStr">
        <is>
          <t>Data Keuangan 2021-2025</t>
        </is>
      </c>
      <c r="T63" t="inlineStr">
        <is>
          <t>ADRO/PGEO/POWR dalam USD juta</t>
        </is>
      </c>
    </row>
    <row r="64">
      <c r="A64" t="inlineStr">
        <is>
          <t>PGEO</t>
        </is>
      </c>
      <c r="B64" t="inlineStr">
        <is>
          <t>Pertamina Geothermal</t>
        </is>
      </c>
      <c r="C64" t="n">
        <v>2023</v>
      </c>
      <c r="D64" t="inlineStr">
        <is>
          <t>FY</t>
        </is>
      </c>
      <c r="E64" t="inlineStr">
        <is>
          <t>USD</t>
        </is>
      </c>
      <c r="F64" t="inlineStr">
        <is>
          <t>Juta</t>
        </is>
      </c>
      <c r="G64" t="n">
        <v>406.29</v>
      </c>
      <c r="I64" t="n">
        <v>163.59</v>
      </c>
      <c r="K64" t="n">
        <v>10.87</v>
      </c>
      <c r="S64" t="inlineStr">
        <is>
          <t>Data Keuangan 2021-2025</t>
        </is>
      </c>
      <c r="T64" t="inlineStr">
        <is>
          <t>ADRO/PGEO/POWR dalam USD juta</t>
        </is>
      </c>
    </row>
    <row r="65">
      <c r="A65" t="inlineStr">
        <is>
          <t>PGEO</t>
        </is>
      </c>
      <c r="B65" t="inlineStr">
        <is>
          <t>Pertamina Geothermal</t>
        </is>
      </c>
      <c r="C65" t="n">
        <v>2024</v>
      </c>
      <c r="D65" t="inlineStr">
        <is>
          <t>FY</t>
        </is>
      </c>
      <c r="E65" t="inlineStr">
        <is>
          <t>USD</t>
        </is>
      </c>
      <c r="F65" t="inlineStr">
        <is>
          <t>Juta</t>
        </is>
      </c>
      <c r="G65" t="n">
        <v>407.12</v>
      </c>
      <c r="I65" t="n">
        <v>160.49</v>
      </c>
      <c r="K65" t="n">
        <v>47.77</v>
      </c>
      <c r="S65" t="inlineStr">
        <is>
          <t>Data Keuangan 2021-2025</t>
        </is>
      </c>
      <c r="T65" t="inlineStr">
        <is>
          <t>ADRO/PGEO/POWR dalam USD juta</t>
        </is>
      </c>
    </row>
    <row r="66">
      <c r="A66" t="inlineStr">
        <is>
          <t>PGEO</t>
        </is>
      </c>
      <c r="B66" t="inlineStr">
        <is>
          <t>Pertamina Geothermal</t>
        </is>
      </c>
      <c r="C66" t="n">
        <v>2025</v>
      </c>
      <c r="D66" t="inlineStr">
        <is>
          <t>FY</t>
        </is>
      </c>
      <c r="E66" t="inlineStr">
        <is>
          <t>USD</t>
        </is>
      </c>
      <c r="F66" t="inlineStr">
        <is>
          <t>Juta</t>
        </is>
      </c>
      <c r="G66" t="n">
        <v>432.73</v>
      </c>
      <c r="I66" t="n">
        <v>137.7</v>
      </c>
      <c r="K66" t="n">
        <v>53.09</v>
      </c>
      <c r="S66" t="inlineStr">
        <is>
          <t>Data Keuangan 2021-2025</t>
        </is>
      </c>
      <c r="T66" t="inlineStr">
        <is>
          <t>ADRO/PGEO/POWR dalam USD juta</t>
        </is>
      </c>
    </row>
    <row r="67">
      <c r="A67" t="inlineStr">
        <is>
          <t>PGEO</t>
        </is>
      </c>
      <c r="B67" t="inlineStr">
        <is>
          <t>Pertamina Geothermal</t>
        </is>
      </c>
      <c r="C67" t="n">
        <v>2026</v>
      </c>
      <c r="D67" t="inlineStr">
        <is>
          <t>TTM</t>
        </is>
      </c>
      <c r="E67" t="inlineStr">
        <is>
          <t>USD</t>
        </is>
      </c>
      <c r="F67" t="inlineStr">
        <is>
          <t>Juta</t>
        </is>
      </c>
      <c r="I67" t="n">
        <v>148.36</v>
      </c>
      <c r="J67" t="n">
        <v>63.17</v>
      </c>
      <c r="K67" t="n">
        <v>49.44</v>
      </c>
      <c r="S67" t="inlineStr">
        <is>
          <t>Data Keuangan 2021-2025</t>
        </is>
      </c>
      <c r="T67" t="inlineStr">
        <is>
          <t>ADRO/PGEO/POWR dalam USD juta</t>
        </is>
      </c>
    </row>
    <row r="68">
      <c r="A68" t="inlineStr">
        <is>
          <t>POWR</t>
        </is>
      </c>
      <c r="B68" t="inlineStr">
        <is>
          <t>Cikarang Listrindo</t>
        </is>
      </c>
      <c r="C68" t="n">
        <v>2021</v>
      </c>
      <c r="D68" t="inlineStr">
        <is>
          <t>FY</t>
        </is>
      </c>
      <c r="E68" t="inlineStr">
        <is>
          <t>USD</t>
        </is>
      </c>
      <c r="F68" t="inlineStr">
        <is>
          <t>Juta</t>
        </is>
      </c>
      <c r="G68" t="n">
        <v>514.85</v>
      </c>
      <c r="I68" t="n">
        <v>90.44</v>
      </c>
      <c r="S68" t="inlineStr">
        <is>
          <t>Data Keuangan 2021-2025</t>
        </is>
      </c>
      <c r="T68" t="inlineStr">
        <is>
          <t>ADRO/PGEO/POWR dalam USD juta</t>
        </is>
      </c>
    </row>
    <row r="69">
      <c r="A69" t="inlineStr">
        <is>
          <t>POWR</t>
        </is>
      </c>
      <c r="B69" t="inlineStr">
        <is>
          <t>Cikarang Listrindo</t>
        </is>
      </c>
      <c r="C69" t="n">
        <v>2022</v>
      </c>
      <c r="D69" t="inlineStr">
        <is>
          <t>FY</t>
        </is>
      </c>
      <c r="E69" t="inlineStr">
        <is>
          <t>USD</t>
        </is>
      </c>
      <c r="F69" t="inlineStr">
        <is>
          <t>Juta</t>
        </is>
      </c>
      <c r="G69" t="n">
        <v>550.45</v>
      </c>
      <c r="I69" t="n">
        <v>72.54000000000001</v>
      </c>
      <c r="S69" t="inlineStr">
        <is>
          <t>Data Keuangan 2021-2025</t>
        </is>
      </c>
      <c r="T69" t="inlineStr">
        <is>
          <t>ADRO/PGEO/POWR dalam USD juta</t>
        </is>
      </c>
    </row>
    <row r="70">
      <c r="A70" t="inlineStr">
        <is>
          <t>POWR</t>
        </is>
      </c>
      <c r="B70" t="inlineStr">
        <is>
          <t>Cikarang Listrindo</t>
        </is>
      </c>
      <c r="C70" t="n">
        <v>2023</v>
      </c>
      <c r="D70" t="inlineStr">
        <is>
          <t>FY</t>
        </is>
      </c>
      <c r="E70" t="inlineStr">
        <is>
          <t>USD</t>
        </is>
      </c>
      <c r="F70" t="inlineStr">
        <is>
          <t>Juta</t>
        </is>
      </c>
      <c r="G70" t="n">
        <v>546.08</v>
      </c>
      <c r="I70" t="n">
        <v>76.98</v>
      </c>
      <c r="S70" t="inlineStr">
        <is>
          <t>Data Keuangan 2021-2025</t>
        </is>
      </c>
      <c r="T70" t="inlineStr">
        <is>
          <t>ADRO/PGEO/POWR dalam USD juta</t>
        </is>
      </c>
    </row>
    <row r="71">
      <c r="A71" t="inlineStr">
        <is>
          <t>POWR</t>
        </is>
      </c>
      <c r="B71" t="inlineStr">
        <is>
          <t>Cikarang Listrindo</t>
        </is>
      </c>
      <c r="C71" t="n">
        <v>2024</v>
      </c>
      <c r="D71" t="inlineStr">
        <is>
          <t>FY</t>
        </is>
      </c>
      <c r="E71" t="inlineStr">
        <is>
          <t>USD</t>
        </is>
      </c>
      <c r="F71" t="inlineStr">
        <is>
          <t>Juta</t>
        </is>
      </c>
      <c r="G71" t="n">
        <v>547.02</v>
      </c>
      <c r="I71" t="n">
        <v>75.34</v>
      </c>
      <c r="K71" t="n">
        <v>72.16</v>
      </c>
      <c r="S71" t="inlineStr">
        <is>
          <t>Data Keuangan 2021-2025</t>
        </is>
      </c>
      <c r="T71" t="inlineStr">
        <is>
          <t>ADRO/PGEO/POWR dalam USD juta</t>
        </is>
      </c>
    </row>
    <row r="72">
      <c r="A72" t="inlineStr">
        <is>
          <t>POWR</t>
        </is>
      </c>
      <c r="B72" t="inlineStr">
        <is>
          <t>Cikarang Listrindo</t>
        </is>
      </c>
      <c r="C72" t="n">
        <v>2025</v>
      </c>
      <c r="D72" t="inlineStr">
        <is>
          <t>FY</t>
        </is>
      </c>
      <c r="E72" t="inlineStr">
        <is>
          <t>USD</t>
        </is>
      </c>
      <c r="F72" t="inlineStr">
        <is>
          <t>Juta</t>
        </is>
      </c>
      <c r="G72" t="n">
        <v>553.5</v>
      </c>
      <c r="I72" t="n">
        <v>72.06</v>
      </c>
      <c r="K72" t="n">
        <v>69.79000000000001</v>
      </c>
      <c r="S72" t="inlineStr">
        <is>
          <t>Data Keuangan 2021-2025</t>
        </is>
      </c>
      <c r="T72" t="inlineStr">
        <is>
          <t>ADRO/PGEO/POWR dalam USD juta</t>
        </is>
      </c>
    </row>
    <row r="73">
      <c r="A73" t="inlineStr">
        <is>
          <t>POWR</t>
        </is>
      </c>
      <c r="B73" t="inlineStr">
        <is>
          <t>Cikarang Listrindo</t>
        </is>
      </c>
      <c r="C73" t="n">
        <v>2026</v>
      </c>
      <c r="D73" t="inlineStr">
        <is>
          <t>TTM</t>
        </is>
      </c>
      <c r="E73" t="inlineStr">
        <is>
          <t>USD</t>
        </is>
      </c>
      <c r="F73" t="inlineStr">
        <is>
          <t>Juta</t>
        </is>
      </c>
      <c r="I73" t="n">
        <v>69.55</v>
      </c>
      <c r="J73" t="n">
        <v>78.53</v>
      </c>
      <c r="K73" t="n">
        <v>73.73999999999999</v>
      </c>
      <c r="S73" t="inlineStr">
        <is>
          <t>Data Keuangan 2021-2025</t>
        </is>
      </c>
      <c r="T73" t="inlineStr">
        <is>
          <t>ADRO/PGEO/POWR dalam USD juta</t>
        </is>
      </c>
    </row>
    <row r="74">
      <c r="A74" t="inlineStr">
        <is>
          <t>IPCC</t>
        </is>
      </c>
      <c r="B74" t="inlineStr">
        <is>
          <t>Indonesia Kendaraan Terminal</t>
        </is>
      </c>
      <c r="C74" t="n">
        <v>2021</v>
      </c>
      <c r="D74" t="inlineStr">
        <is>
          <t>FY</t>
        </is>
      </c>
      <c r="E74" t="inlineStr">
        <is>
          <t>IDR</t>
        </is>
      </c>
      <c r="F74" t="inlineStr">
        <is>
          <t>Triliun</t>
        </is>
      </c>
      <c r="G74" t="n">
        <v>0.516837</v>
      </c>
      <c r="I74" t="n">
        <v>0.060056</v>
      </c>
      <c r="J74" t="n">
        <v>33.03</v>
      </c>
      <c r="S74" t="inlineStr">
        <is>
          <t>Data Keuangan 2021-2025</t>
        </is>
      </c>
      <c r="T74" t="inlineStr"/>
    </row>
    <row r="75">
      <c r="A75" t="inlineStr">
        <is>
          <t>IPCC</t>
        </is>
      </c>
      <c r="B75" t="inlineStr">
        <is>
          <t>Indonesia Kendaraan Terminal</t>
        </is>
      </c>
      <c r="C75" t="n">
        <v>2022</v>
      </c>
      <c r="D75" t="inlineStr">
        <is>
          <t>FY</t>
        </is>
      </c>
      <c r="E75" t="inlineStr">
        <is>
          <t>IDR</t>
        </is>
      </c>
      <c r="F75" t="inlineStr">
        <is>
          <t>Triliun</t>
        </is>
      </c>
      <c r="G75" t="n">
        <v>0.726573</v>
      </c>
      <c r="I75" t="n">
        <v>0.161725</v>
      </c>
      <c r="J75" t="n">
        <v>88.94</v>
      </c>
      <c r="K75" t="n">
        <v>35.61</v>
      </c>
      <c r="S75" t="inlineStr">
        <is>
          <t>Data Keuangan 2021-2025</t>
        </is>
      </c>
      <c r="T75" t="inlineStr"/>
    </row>
    <row r="76">
      <c r="A76" t="inlineStr">
        <is>
          <t>IPCC</t>
        </is>
      </c>
      <c r="B76" t="inlineStr">
        <is>
          <t>Indonesia Kendaraan Terminal</t>
        </is>
      </c>
      <c r="C76" t="n">
        <v>2023</v>
      </c>
      <c r="D76" t="inlineStr">
        <is>
          <t>FY</t>
        </is>
      </c>
      <c r="E76" t="inlineStr">
        <is>
          <t>IDR</t>
        </is>
      </c>
      <c r="F76" t="inlineStr">
        <is>
          <t>Triliun</t>
        </is>
      </c>
      <c r="G76" t="n">
        <v>0.735205</v>
      </c>
      <c r="I76" t="n">
        <v>0.190855</v>
      </c>
      <c r="J76" t="n">
        <v>104.96</v>
      </c>
      <c r="K76" t="n">
        <v>71.47</v>
      </c>
      <c r="S76" t="inlineStr">
        <is>
          <t>Data Keuangan 2021-2025</t>
        </is>
      </c>
      <c r="T76" t="inlineStr"/>
    </row>
    <row r="77">
      <c r="A77" t="inlineStr">
        <is>
          <t>IPCC</t>
        </is>
      </c>
      <c r="B77" t="inlineStr">
        <is>
          <t>Indonesia Kendaraan Terminal</t>
        </is>
      </c>
      <c r="C77" t="n">
        <v>2024</v>
      </c>
      <c r="D77" t="inlineStr">
        <is>
          <t>FY</t>
        </is>
      </c>
      <c r="E77" t="inlineStr">
        <is>
          <t>IDR</t>
        </is>
      </c>
      <c r="F77" t="inlineStr">
        <is>
          <t>Triliun</t>
        </is>
      </c>
      <c r="G77" t="n">
        <v>0.824596</v>
      </c>
      <c r="I77" t="n">
        <v>0.212216</v>
      </c>
      <c r="J77" t="n">
        <v>116.71</v>
      </c>
      <c r="K77" t="n">
        <v>86.81</v>
      </c>
      <c r="S77" t="inlineStr">
        <is>
          <t>Data Keuangan 2021-2025</t>
        </is>
      </c>
      <c r="T77" t="inlineStr"/>
    </row>
    <row r="78">
      <c r="A78" t="inlineStr">
        <is>
          <t>IPCC</t>
        </is>
      </c>
      <c r="B78" t="inlineStr">
        <is>
          <t>Indonesia Kendaraan Terminal</t>
        </is>
      </c>
      <c r="C78" t="n">
        <v>2025</v>
      </c>
      <c r="D78" t="inlineStr">
        <is>
          <t>FY</t>
        </is>
      </c>
      <c r="E78" t="inlineStr">
        <is>
          <t>IDR</t>
        </is>
      </c>
      <c r="F78" t="inlineStr">
        <is>
          <t>Triliun</t>
        </is>
      </c>
      <c r="G78" t="n">
        <v>0.92996</v>
      </c>
      <c r="I78" t="n">
        <v>0.256513</v>
      </c>
      <c r="J78" t="n">
        <v>141.07</v>
      </c>
      <c r="K78" t="n">
        <v>95.11</v>
      </c>
      <c r="S78" t="inlineStr">
        <is>
          <t>Data Keuangan 2021-2025</t>
        </is>
      </c>
      <c r="T78" t="inlineStr"/>
    </row>
    <row r="79">
      <c r="A79" t="inlineStr">
        <is>
          <t>IPCC</t>
        </is>
      </c>
      <c r="B79" t="inlineStr">
        <is>
          <t>Indonesia Kendaraan Terminal</t>
        </is>
      </c>
      <c r="C79" t="n">
        <v>2026</v>
      </c>
      <c r="D79" t="inlineStr">
        <is>
          <t>TTM</t>
        </is>
      </c>
      <c r="E79" t="inlineStr">
        <is>
          <t>IDR</t>
        </is>
      </c>
      <c r="F79" t="inlineStr">
        <is>
          <t>Triliun</t>
        </is>
      </c>
      <c r="G79" t="n">
        <v>0.927911</v>
      </c>
      <c r="I79" t="n">
        <v>0.245949</v>
      </c>
      <c r="J79" t="n">
        <v>135.26</v>
      </c>
      <c r="K79" t="n">
        <v>112.85</v>
      </c>
      <c r="L79" t="n">
        <v>2.522553846153846</v>
      </c>
      <c r="M79" t="n">
        <v>1.31</v>
      </c>
      <c r="N79" t="n">
        <v>0.47573</v>
      </c>
      <c r="O79" t="n">
        <v>1.11</v>
      </c>
      <c r="S79" t="inlineStr">
        <is>
          <t>Data Keuangan 2021-2025</t>
        </is>
      </c>
      <c r="T79" t="inlineStr"/>
    </row>
    <row r="80">
      <c r="A80" t="inlineStr">
        <is>
          <t>TUGU</t>
        </is>
      </c>
      <c r="B80" t="inlineStr">
        <is>
          <t>Asuransi Tugu Pratama</t>
        </is>
      </c>
      <c r="C80" t="n">
        <v>2021</v>
      </c>
      <c r="D80" t="inlineStr">
        <is>
          <t>FY</t>
        </is>
      </c>
      <c r="E80" t="inlineStr">
        <is>
          <t>IDR</t>
        </is>
      </c>
      <c r="F80" t="inlineStr">
        <is>
          <t>Triliun</t>
        </is>
      </c>
      <c r="G80" t="n">
        <v>2.697843</v>
      </c>
      <c r="I80" t="n">
        <v>0.31648</v>
      </c>
      <c r="J80" t="n">
        <v>89.01000000000001</v>
      </c>
      <c r="K80" t="n">
        <v>26.1</v>
      </c>
      <c r="S80" t="inlineStr">
        <is>
          <t>Data Keuangan 2021-2025</t>
        </is>
      </c>
      <c r="T80" t="inlineStr"/>
    </row>
    <row r="81">
      <c r="A81" t="inlineStr">
        <is>
          <t>TUGU</t>
        </is>
      </c>
      <c r="B81" t="inlineStr">
        <is>
          <t>Asuransi Tugu Pratama</t>
        </is>
      </c>
      <c r="C81" t="n">
        <v>2022</v>
      </c>
      <c r="D81" t="inlineStr">
        <is>
          <t>FY</t>
        </is>
      </c>
      <c r="E81" t="inlineStr">
        <is>
          <t>IDR</t>
        </is>
      </c>
      <c r="F81" t="inlineStr">
        <is>
          <t>Triliun</t>
        </is>
      </c>
      <c r="G81" t="n">
        <v>3.031496</v>
      </c>
      <c r="I81" t="n">
        <v>0.347151</v>
      </c>
      <c r="J81" t="n">
        <v>97.64</v>
      </c>
      <c r="K81" t="n">
        <v>35.6</v>
      </c>
      <c r="S81" t="inlineStr">
        <is>
          <t>Data Keuangan 2021-2025</t>
        </is>
      </c>
      <c r="T81" t="inlineStr"/>
    </row>
    <row r="82">
      <c r="A82" t="inlineStr">
        <is>
          <t>TUGU</t>
        </is>
      </c>
      <c r="B82" t="inlineStr">
        <is>
          <t>Asuransi Tugu Pratama</t>
        </is>
      </c>
      <c r="C82" t="n">
        <v>2023</v>
      </c>
      <c r="D82" t="inlineStr">
        <is>
          <t>FY</t>
        </is>
      </c>
      <c r="E82" t="inlineStr">
        <is>
          <t>IDR</t>
        </is>
      </c>
      <c r="F82" t="inlineStr">
        <is>
          <t>Triliun</t>
        </is>
      </c>
      <c r="G82" t="n">
        <v>3.464139</v>
      </c>
      <c r="I82" t="n">
        <v>1.322394</v>
      </c>
      <c r="J82" t="n">
        <v>371.92</v>
      </c>
      <c r="K82" t="n">
        <v>64.56</v>
      </c>
      <c r="S82" t="inlineStr">
        <is>
          <t>Data Keuangan 2021-2025</t>
        </is>
      </c>
      <c r="T82" t="inlineStr"/>
    </row>
    <row r="83">
      <c r="A83" t="inlineStr">
        <is>
          <t>TUGU</t>
        </is>
      </c>
      <c r="B83" t="inlineStr">
        <is>
          <t>Asuransi Tugu Pratama</t>
        </is>
      </c>
      <c r="C83" t="n">
        <v>2024</v>
      </c>
      <c r="D83" t="inlineStr">
        <is>
          <t>FY</t>
        </is>
      </c>
      <c r="E83" t="inlineStr">
        <is>
          <t>IDR</t>
        </is>
      </c>
      <c r="F83" t="inlineStr">
        <is>
          <t>Triliun</t>
        </is>
      </c>
      <c r="G83" t="n">
        <v>4.115663</v>
      </c>
      <c r="I83" t="n">
        <v>0.401575</v>
      </c>
      <c r="J83" t="n">
        <v>112.94</v>
      </c>
      <c r="K83" t="n">
        <v>123.26</v>
      </c>
      <c r="S83" t="inlineStr">
        <is>
          <t>Data Keuangan 2021-2025</t>
        </is>
      </c>
      <c r="T83" t="inlineStr"/>
    </row>
    <row r="84">
      <c r="A84" t="inlineStr">
        <is>
          <t>TUGU</t>
        </is>
      </c>
      <c r="B84" t="inlineStr">
        <is>
          <t>Asuransi Tugu Pratama</t>
        </is>
      </c>
      <c r="C84" t="n">
        <v>2025</v>
      </c>
      <c r="D84" t="inlineStr">
        <is>
          <t>FY</t>
        </is>
      </c>
      <c r="E84" t="inlineStr">
        <is>
          <t>IDR</t>
        </is>
      </c>
      <c r="F84" t="inlineStr">
        <is>
          <t>Triliun</t>
        </is>
      </c>
      <c r="G84" t="n">
        <v>5.761146</v>
      </c>
      <c r="I84" t="n">
        <v>0.7110570000000001</v>
      </c>
      <c r="J84" t="n">
        <v>199.98</v>
      </c>
      <c r="K84" t="n">
        <v>78.84999999999999</v>
      </c>
      <c r="S84" t="inlineStr">
        <is>
          <t>Data Keuangan 2021-2025</t>
        </is>
      </c>
      <c r="T84" t="inlineStr"/>
    </row>
    <row r="85">
      <c r="A85" t="inlineStr">
        <is>
          <t>TUGU</t>
        </is>
      </c>
      <c r="B85" t="inlineStr">
        <is>
          <t>Asuransi Tugu Pratama</t>
        </is>
      </c>
      <c r="C85" t="n">
        <v>2026</v>
      </c>
      <c r="D85" t="inlineStr">
        <is>
          <t>TTM</t>
        </is>
      </c>
      <c r="E85" t="inlineStr">
        <is>
          <t>IDR</t>
        </is>
      </c>
      <c r="F85" t="inlineStr">
        <is>
          <t>Triliun</t>
        </is>
      </c>
      <c r="G85" t="n">
        <v>5.75154</v>
      </c>
      <c r="I85" t="n">
        <v>0.919788</v>
      </c>
      <c r="J85" t="n">
        <v>258.69</v>
      </c>
      <c r="K85" t="n">
        <v>99.98999999999999</v>
      </c>
      <c r="L85" t="n">
        <v>47.16861538461539</v>
      </c>
      <c r="M85" t="n">
        <v>10.01</v>
      </c>
      <c r="N85" t="n">
        <v>0.8374</v>
      </c>
      <c r="O85" t="n">
        <v>8.23</v>
      </c>
      <c r="S85" t="inlineStr">
        <is>
          <t>Data Keuangan 2021-2025</t>
        </is>
      </c>
      <c r="T8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0" customWidth="1" min="4" max="4"/>
  </cols>
  <sheetData>
    <row r="1">
      <c r="A1" s="70" t="inlineStr">
        <is>
          <t>KODE</t>
        </is>
      </c>
      <c r="B1" s="70" t="inlineStr">
        <is>
          <t>TAHUN</t>
        </is>
      </c>
      <c r="C1" s="70" t="inlineStr">
        <is>
          <t>DPS</t>
        </is>
      </c>
      <c r="D1" s="70" t="inlineStr">
        <is>
          <t>TIPE</t>
        </is>
      </c>
    </row>
    <row r="2">
      <c r="A2" t="inlineStr">
        <is>
          <t>BMRI</t>
        </is>
      </c>
      <c r="B2" t="n">
        <v>2022</v>
      </c>
      <c r="C2" t="n">
        <v>180.32</v>
      </c>
      <c r="D2" t="inlineStr">
        <is>
          <t>FINAL</t>
        </is>
      </c>
    </row>
    <row r="3">
      <c r="A3" t="inlineStr">
        <is>
          <t>BMRI</t>
        </is>
      </c>
      <c r="B3" t="n">
        <v>2023</v>
      </c>
      <c r="C3" t="n">
        <v>264.67</v>
      </c>
      <c r="D3" t="inlineStr">
        <is>
          <t>FINAL</t>
        </is>
      </c>
    </row>
    <row r="4">
      <c r="A4" t="inlineStr">
        <is>
          <t>BMRI</t>
        </is>
      </c>
      <c r="B4" t="n">
        <v>2024</v>
      </c>
      <c r="C4" t="n">
        <v>353.96</v>
      </c>
      <c r="D4" t="inlineStr">
        <is>
          <t>FINAL</t>
        </is>
      </c>
    </row>
    <row r="5">
      <c r="A5" t="inlineStr">
        <is>
          <t>BMRI</t>
        </is>
      </c>
      <c r="B5" t="n">
        <v>2025</v>
      </c>
      <c r="C5" t="n">
        <v>466.18</v>
      </c>
      <c r="D5" t="inlineStr">
        <is>
          <t>FINAL</t>
        </is>
      </c>
    </row>
    <row r="6">
      <c r="A6" t="inlineStr">
        <is>
          <t>BMRI</t>
        </is>
      </c>
      <c r="B6" t="n">
        <v>2026</v>
      </c>
      <c r="C6" t="n">
        <v>476.96</v>
      </c>
      <c r="D6" t="inlineStr">
        <is>
          <t>TTM</t>
        </is>
      </c>
    </row>
    <row r="7">
      <c r="A7" t="inlineStr">
        <is>
          <t>BBRI</t>
        </is>
      </c>
      <c r="B7" t="n">
        <v>2022</v>
      </c>
      <c r="C7" t="n">
        <v>174.25</v>
      </c>
      <c r="D7" t="inlineStr">
        <is>
          <t>FINAL</t>
        </is>
      </c>
    </row>
    <row r="8">
      <c r="A8" t="inlineStr">
        <is>
          <t>BBRI</t>
        </is>
      </c>
      <c r="B8" t="n">
        <v>2023</v>
      </c>
      <c r="C8" t="n">
        <v>288.22</v>
      </c>
      <c r="D8" t="inlineStr">
        <is>
          <t>FINAL</t>
        </is>
      </c>
    </row>
    <row r="9">
      <c r="A9" t="inlineStr">
        <is>
          <t>BBRI</t>
        </is>
      </c>
      <c r="B9" t="n">
        <v>2024</v>
      </c>
      <c r="C9" t="n">
        <v>319</v>
      </c>
      <c r="D9" t="inlineStr">
        <is>
          <t>FINAL</t>
        </is>
      </c>
    </row>
    <row r="10">
      <c r="A10" t="inlineStr">
        <is>
          <t>BBRI</t>
        </is>
      </c>
      <c r="B10" t="n">
        <v>2025</v>
      </c>
      <c r="C10" t="n">
        <v>345.4</v>
      </c>
      <c r="D10" t="inlineStr">
        <is>
          <t>FINAL</t>
        </is>
      </c>
    </row>
    <row r="11">
      <c r="A11" t="inlineStr">
        <is>
          <t>BBRI</t>
        </is>
      </c>
      <c r="B11" t="n">
        <v>2026</v>
      </c>
      <c r="C11" t="n">
        <v>346</v>
      </c>
      <c r="D11" t="inlineStr">
        <is>
          <t>TTM</t>
        </is>
      </c>
    </row>
    <row r="12">
      <c r="A12" t="inlineStr">
        <is>
          <t>BBCA</t>
        </is>
      </c>
      <c r="B12" t="n">
        <v>2021</v>
      </c>
      <c r="C12" t="n">
        <v>25</v>
      </c>
      <c r="D12" t="inlineStr">
        <is>
          <t>FINAL</t>
        </is>
      </c>
    </row>
    <row r="13">
      <c r="A13" t="inlineStr">
        <is>
          <t>BBCA</t>
        </is>
      </c>
      <c r="B13" t="n">
        <v>2022</v>
      </c>
      <c r="C13" t="n">
        <v>155</v>
      </c>
      <c r="D13" t="inlineStr">
        <is>
          <t>FINAL</t>
        </is>
      </c>
    </row>
    <row r="14">
      <c r="A14" t="inlineStr">
        <is>
          <t>BBCA</t>
        </is>
      </c>
      <c r="B14" t="n">
        <v>2023</v>
      </c>
      <c r="C14" t="n">
        <v>212.5</v>
      </c>
      <c r="D14" t="inlineStr">
        <is>
          <t>FINAL</t>
        </is>
      </c>
    </row>
    <row r="15">
      <c r="A15" t="inlineStr">
        <is>
          <t>BBCA</t>
        </is>
      </c>
      <c r="B15" t="n">
        <v>2024</v>
      </c>
      <c r="C15" t="n">
        <v>277.5</v>
      </c>
      <c r="D15" t="inlineStr">
        <is>
          <t>FINAL</t>
        </is>
      </c>
    </row>
    <row r="16">
      <c r="A16" t="inlineStr">
        <is>
          <t>BBCA</t>
        </is>
      </c>
      <c r="B16" t="n">
        <v>2025</v>
      </c>
      <c r="C16" t="n">
        <v>305</v>
      </c>
      <c r="D16" t="inlineStr">
        <is>
          <t>FINAL</t>
        </is>
      </c>
    </row>
    <row r="17">
      <c r="A17" t="inlineStr">
        <is>
          <t>BBCA</t>
        </is>
      </c>
      <c r="B17" t="n">
        <v>2026</v>
      </c>
      <c r="C17" t="n">
        <v>381</v>
      </c>
      <c r="D17" t="inlineStr">
        <is>
          <t>TTM</t>
        </is>
      </c>
    </row>
    <row r="18">
      <c r="A18" t="inlineStr">
        <is>
          <t>BJBR</t>
        </is>
      </c>
      <c r="B18" t="n">
        <v>2022</v>
      </c>
      <c r="C18" t="n">
        <v>99.11</v>
      </c>
      <c r="D18" t="inlineStr">
        <is>
          <t>FINAL</t>
        </is>
      </c>
    </row>
    <row r="19">
      <c r="A19" t="inlineStr">
        <is>
          <t>BJBR</t>
        </is>
      </c>
      <c r="B19" t="n">
        <v>2023</v>
      </c>
      <c r="C19" t="n">
        <v>104.55</v>
      </c>
      <c r="D19" t="inlineStr">
        <is>
          <t>FINAL</t>
        </is>
      </c>
    </row>
    <row r="20">
      <c r="A20" t="inlineStr">
        <is>
          <t>BJBR</t>
        </is>
      </c>
      <c r="B20" t="n">
        <v>2024</v>
      </c>
      <c r="C20" t="n">
        <v>95.05</v>
      </c>
      <c r="D20" t="inlineStr">
        <is>
          <t>FINAL</t>
        </is>
      </c>
    </row>
    <row r="21">
      <c r="A21" t="inlineStr">
        <is>
          <t>BJBR</t>
        </is>
      </c>
      <c r="B21" t="n">
        <v>2025</v>
      </c>
      <c r="C21" t="n">
        <v>85.25</v>
      </c>
      <c r="D21" t="inlineStr">
        <is>
          <t>FINAL</t>
        </is>
      </c>
    </row>
    <row r="22">
      <c r="A22" t="inlineStr">
        <is>
          <t>BJBR</t>
        </is>
      </c>
      <c r="B22" t="n">
        <v>2026</v>
      </c>
      <c r="C22" t="n">
        <v>85.54000000000001</v>
      </c>
      <c r="D22" t="inlineStr">
        <is>
          <t>TTM</t>
        </is>
      </c>
    </row>
    <row r="23">
      <c r="A23" t="inlineStr">
        <is>
          <t>BJTM</t>
        </is>
      </c>
      <c r="B23" t="n">
        <v>2022</v>
      </c>
      <c r="C23" t="n">
        <v>52.11</v>
      </c>
      <c r="D23" t="inlineStr">
        <is>
          <t>FINAL</t>
        </is>
      </c>
    </row>
    <row r="24">
      <c r="A24" t="inlineStr">
        <is>
          <t>BJTM</t>
        </is>
      </c>
      <c r="B24" t="n">
        <v>2023</v>
      </c>
      <c r="C24" t="n">
        <v>53.09</v>
      </c>
      <c r="D24" t="inlineStr">
        <is>
          <t>FINAL</t>
        </is>
      </c>
    </row>
    <row r="25">
      <c r="A25" t="inlineStr">
        <is>
          <t>BJTM</t>
        </is>
      </c>
      <c r="B25" t="n">
        <v>2024</v>
      </c>
      <c r="C25" t="n">
        <v>54.39</v>
      </c>
      <c r="D25" t="inlineStr">
        <is>
          <t>FINAL</t>
        </is>
      </c>
    </row>
    <row r="26">
      <c r="A26" t="inlineStr">
        <is>
          <t>BJTM</t>
        </is>
      </c>
      <c r="B26" t="n">
        <v>2025</v>
      </c>
      <c r="C26" t="n">
        <v>54.71</v>
      </c>
      <c r="D26" t="inlineStr">
        <is>
          <t>FINAL</t>
        </is>
      </c>
    </row>
    <row r="27">
      <c r="A27" t="inlineStr">
        <is>
          <t>BJTM</t>
        </is>
      </c>
      <c r="B27" t="n">
        <v>2026</v>
      </c>
      <c r="C27" t="n">
        <v>56.62</v>
      </c>
      <c r="D27" t="inlineStr">
        <is>
          <t>TTM</t>
        </is>
      </c>
    </row>
    <row r="28">
      <c r="A28" t="inlineStr">
        <is>
          <t>TLKM</t>
        </is>
      </c>
      <c r="B28" t="n">
        <v>2022</v>
      </c>
      <c r="C28" t="n">
        <v>149.97</v>
      </c>
      <c r="D28" t="inlineStr">
        <is>
          <t>FINAL</t>
        </is>
      </c>
    </row>
    <row r="29">
      <c r="A29" t="inlineStr">
        <is>
          <t>TLKM</t>
        </is>
      </c>
      <c r="B29" t="n">
        <v>2023</v>
      </c>
      <c r="C29" t="n">
        <v>167.6</v>
      </c>
      <c r="D29" t="inlineStr">
        <is>
          <t>FINAL</t>
        </is>
      </c>
    </row>
    <row r="30">
      <c r="A30" t="inlineStr">
        <is>
          <t>TLKM</t>
        </is>
      </c>
      <c r="B30" t="n">
        <v>2024</v>
      </c>
      <c r="C30" t="n">
        <v>178.5</v>
      </c>
      <c r="D30" t="inlineStr">
        <is>
          <t>FINAL</t>
        </is>
      </c>
    </row>
    <row r="31">
      <c r="A31" t="inlineStr">
        <is>
          <t>TLKM</t>
        </is>
      </c>
      <c r="B31" t="n">
        <v>2025</v>
      </c>
      <c r="C31" t="n">
        <v>212.47</v>
      </c>
      <c r="D31" t="inlineStr">
        <is>
          <t>FINAL</t>
        </is>
      </c>
    </row>
    <row r="32">
      <c r="A32" t="inlineStr">
        <is>
          <t>TLKM</t>
        </is>
      </c>
      <c r="B32" t="n">
        <v>2026</v>
      </c>
      <c r="C32" t="n">
        <v>223.17</v>
      </c>
      <c r="D32" t="inlineStr">
        <is>
          <t>TTM</t>
        </is>
      </c>
    </row>
    <row r="33">
      <c r="A33" t="inlineStr">
        <is>
          <t>HMSP</t>
        </is>
      </c>
      <c r="B33" t="n">
        <v>2021</v>
      </c>
      <c r="C33" t="n">
        <v>72.8</v>
      </c>
      <c r="D33" t="inlineStr">
        <is>
          <t>FINAL</t>
        </is>
      </c>
    </row>
    <row r="34">
      <c r="A34" t="inlineStr">
        <is>
          <t>HMSP</t>
        </is>
      </c>
      <c r="B34" t="n">
        <v>2022</v>
      </c>
      <c r="C34" t="n">
        <v>63.3</v>
      </c>
      <c r="D34" t="inlineStr">
        <is>
          <t>FINAL</t>
        </is>
      </c>
    </row>
    <row r="35">
      <c r="A35" t="inlineStr">
        <is>
          <t>HMSP</t>
        </is>
      </c>
      <c r="B35" t="n">
        <v>2023</v>
      </c>
      <c r="C35" t="n">
        <v>54.7</v>
      </c>
      <c r="D35" t="inlineStr">
        <is>
          <t>FINAL</t>
        </is>
      </c>
    </row>
    <row r="36">
      <c r="A36" t="inlineStr">
        <is>
          <t>HMSP</t>
        </is>
      </c>
      <c r="B36" t="n">
        <v>2024</v>
      </c>
      <c r="C36" t="n">
        <v>69.3</v>
      </c>
      <c r="D36" t="inlineStr">
        <is>
          <t>FINAL</t>
        </is>
      </c>
    </row>
    <row r="37">
      <c r="A37" t="inlineStr">
        <is>
          <t>HMSP</t>
        </is>
      </c>
      <c r="B37" t="n">
        <v>2025</v>
      </c>
      <c r="C37" t="n">
        <v>56.2</v>
      </c>
      <c r="D37" t="inlineStr">
        <is>
          <t>FINAL</t>
        </is>
      </c>
    </row>
    <row r="38">
      <c r="A38" t="inlineStr">
        <is>
          <t>HMSP</t>
        </is>
      </c>
      <c r="B38" t="n">
        <v>2026</v>
      </c>
      <c r="C38" t="n">
        <v>56.3</v>
      </c>
      <c r="D38" t="inlineStr">
        <is>
          <t>TTM</t>
        </is>
      </c>
    </row>
    <row r="39">
      <c r="A39" t="inlineStr">
        <is>
          <t>CLEO</t>
        </is>
      </c>
      <c r="B39" t="n">
        <v>2021</v>
      </c>
      <c r="C39" t="n">
        <v>1.25</v>
      </c>
      <c r="D39" t="inlineStr">
        <is>
          <t>FINAL</t>
        </is>
      </c>
    </row>
    <row r="40">
      <c r="A40" t="inlineStr">
        <is>
          <t>CLEO</t>
        </is>
      </c>
      <c r="B40" t="n">
        <v>2022</v>
      </c>
      <c r="C40" t="n">
        <v>0.5</v>
      </c>
      <c r="D40" t="inlineStr">
        <is>
          <t>FINAL</t>
        </is>
      </c>
    </row>
    <row r="41">
      <c r="A41" t="inlineStr">
        <is>
          <t>CLEO</t>
        </is>
      </c>
      <c r="B41" t="n">
        <v>2023</v>
      </c>
      <c r="C41" t="n">
        <v>0.825</v>
      </c>
      <c r="D41" t="inlineStr">
        <is>
          <t>FINAL</t>
        </is>
      </c>
    </row>
    <row r="42">
      <c r="A42" t="inlineStr">
        <is>
          <t>CLEO</t>
        </is>
      </c>
      <c r="B42" t="n">
        <v>2024</v>
      </c>
      <c r="C42" t="n">
        <v>2.525</v>
      </c>
      <c r="D42" t="inlineStr">
        <is>
          <t>FINAL</t>
        </is>
      </c>
    </row>
    <row r="43">
      <c r="A43" t="inlineStr">
        <is>
          <t>CLEO</t>
        </is>
      </c>
      <c r="B43" t="n">
        <v>2025</v>
      </c>
      <c r="C43" t="n">
        <v>5</v>
      </c>
      <c r="D43" t="inlineStr">
        <is>
          <t>FINAL</t>
        </is>
      </c>
    </row>
    <row r="44">
      <c r="A44" t="inlineStr">
        <is>
          <t>CLEO</t>
        </is>
      </c>
      <c r="B44" t="n">
        <v>2026</v>
      </c>
      <c r="C44" t="n">
        <v>2.5</v>
      </c>
      <c r="D44" t="inlineStr">
        <is>
          <t>TTM</t>
        </is>
      </c>
    </row>
    <row r="45">
      <c r="A45" t="inlineStr">
        <is>
          <t>ADRO</t>
        </is>
      </c>
      <c r="B45" t="n">
        <v>2021</v>
      </c>
      <c r="C45" t="n">
        <v>226.44</v>
      </c>
      <c r="D45" t="inlineStr">
        <is>
          <t>FINAL</t>
        </is>
      </c>
    </row>
    <row r="46">
      <c r="A46" t="inlineStr">
        <is>
          <t>ADRO</t>
        </is>
      </c>
      <c r="B46" t="n">
        <v>2022</v>
      </c>
      <c r="C46" t="n">
        <v>141.39</v>
      </c>
      <c r="D46" t="inlineStr">
        <is>
          <t>FINAL</t>
        </is>
      </c>
    </row>
    <row r="47">
      <c r="A47" t="inlineStr">
        <is>
          <t>ADRO</t>
        </is>
      </c>
      <c r="B47" t="n">
        <v>2023</v>
      </c>
      <c r="C47" t="n">
        <v>692.04</v>
      </c>
      <c r="D47" t="inlineStr">
        <is>
          <t>FINAL</t>
        </is>
      </c>
    </row>
    <row r="48">
      <c r="A48" t="inlineStr">
        <is>
          <t>ADRO</t>
        </is>
      </c>
      <c r="B48" t="n">
        <v>2024</v>
      </c>
      <c r="C48" t="n">
        <v>1674.33</v>
      </c>
      <c r="D48" t="inlineStr">
        <is>
          <t>FINAL</t>
        </is>
      </c>
    </row>
    <row r="49">
      <c r="A49" t="inlineStr">
        <is>
          <t>ADRO</t>
        </is>
      </c>
      <c r="B49" t="n">
        <v>2025</v>
      </c>
      <c r="C49" t="n">
        <v>311.83</v>
      </c>
      <c r="D49" t="inlineStr">
        <is>
          <t>FINAL</t>
        </is>
      </c>
    </row>
    <row r="50">
      <c r="A50" t="inlineStr">
        <is>
          <t>ADRO</t>
        </is>
      </c>
      <c r="B50" t="n">
        <v>2026</v>
      </c>
      <c r="C50" t="n">
        <v>263.4</v>
      </c>
      <c r="D50" t="inlineStr">
        <is>
          <t>TTM</t>
        </is>
      </c>
    </row>
    <row r="51">
      <c r="A51" t="inlineStr">
        <is>
          <t>PTBA</t>
        </is>
      </c>
      <c r="B51" t="n">
        <v>2022</v>
      </c>
      <c r="C51" t="n">
        <v>688.52</v>
      </c>
      <c r="D51" t="inlineStr">
        <is>
          <t>FINAL</t>
        </is>
      </c>
    </row>
    <row r="52">
      <c r="A52" t="inlineStr">
        <is>
          <t>PTBA</t>
        </is>
      </c>
      <c r="B52" t="n">
        <v>2023</v>
      </c>
      <c r="C52" t="n">
        <v>1094.05</v>
      </c>
      <c r="D52" t="inlineStr">
        <is>
          <t>FINAL</t>
        </is>
      </c>
    </row>
    <row r="53">
      <c r="A53" t="inlineStr">
        <is>
          <t>PTBA</t>
        </is>
      </c>
      <c r="B53" t="n">
        <v>2024</v>
      </c>
      <c r="C53" t="n">
        <v>397.71</v>
      </c>
      <c r="D53" t="inlineStr">
        <is>
          <t>FINAL</t>
        </is>
      </c>
    </row>
    <row r="54">
      <c r="A54" t="inlineStr">
        <is>
          <t>PTBA</t>
        </is>
      </c>
      <c r="B54" t="n">
        <v>2025</v>
      </c>
      <c r="C54" t="n">
        <v>332.44</v>
      </c>
      <c r="D54" t="inlineStr">
        <is>
          <t>FINAL</t>
        </is>
      </c>
    </row>
    <row r="55">
      <c r="A55" t="inlineStr">
        <is>
          <t>PTBA</t>
        </is>
      </c>
      <c r="B55" t="n">
        <v>2026</v>
      </c>
      <c r="C55" t="n">
        <v>114.51</v>
      </c>
      <c r="D55" t="inlineStr">
        <is>
          <t>TTM</t>
        </is>
      </c>
    </row>
    <row r="56">
      <c r="A56" t="inlineStr">
        <is>
          <t>PGEO</t>
        </is>
      </c>
      <c r="B56" t="n">
        <v>2023</v>
      </c>
      <c r="C56" t="n">
        <v>10.87</v>
      </c>
      <c r="D56" t="inlineStr">
        <is>
          <t>FINAL</t>
        </is>
      </c>
    </row>
    <row r="57">
      <c r="A57" t="inlineStr">
        <is>
          <t>PGEO</t>
        </is>
      </c>
      <c r="B57" t="n">
        <v>2024</v>
      </c>
      <c r="C57" t="n">
        <v>47.77</v>
      </c>
      <c r="D57" t="inlineStr">
        <is>
          <t>FINAL</t>
        </is>
      </c>
    </row>
    <row r="58">
      <c r="A58" t="inlineStr">
        <is>
          <t>PGEO</t>
        </is>
      </c>
      <c r="B58" t="n">
        <v>2025</v>
      </c>
      <c r="C58" t="n">
        <v>53.09</v>
      </c>
      <c r="D58" t="inlineStr">
        <is>
          <t>FINAL</t>
        </is>
      </c>
    </row>
    <row r="59">
      <c r="A59" t="inlineStr">
        <is>
          <t>PGEO</t>
        </is>
      </c>
      <c r="B59" t="n">
        <v>2026</v>
      </c>
      <c r="C59" t="n">
        <v>49.44</v>
      </c>
      <c r="D59" t="inlineStr">
        <is>
          <t>TTM</t>
        </is>
      </c>
    </row>
    <row r="60">
      <c r="A60" t="inlineStr">
        <is>
          <t>POWR</t>
        </is>
      </c>
      <c r="B60" t="n">
        <v>2024</v>
      </c>
      <c r="C60" t="n">
        <v>72.16</v>
      </c>
      <c r="D60" t="inlineStr">
        <is>
          <t>FINAL</t>
        </is>
      </c>
    </row>
    <row r="61">
      <c r="A61" t="inlineStr">
        <is>
          <t>POWR</t>
        </is>
      </c>
      <c r="B61" t="n">
        <v>2025</v>
      </c>
      <c r="C61" t="n">
        <v>69.79000000000001</v>
      </c>
      <c r="D61" t="inlineStr">
        <is>
          <t>FINAL</t>
        </is>
      </c>
    </row>
    <row r="62">
      <c r="A62" t="inlineStr">
        <is>
          <t>POWR</t>
        </is>
      </c>
      <c r="B62" t="n">
        <v>2026</v>
      </c>
      <c r="C62" t="n">
        <v>73.73999999999999</v>
      </c>
      <c r="D62" t="inlineStr">
        <is>
          <t>TTM</t>
        </is>
      </c>
    </row>
    <row r="63">
      <c r="A63" t="inlineStr">
        <is>
          <t>IPCC</t>
        </is>
      </c>
      <c r="B63" t="n">
        <v>2022</v>
      </c>
      <c r="C63" t="n">
        <v>35.61</v>
      </c>
      <c r="D63" t="inlineStr">
        <is>
          <t>FINAL</t>
        </is>
      </c>
    </row>
    <row r="64">
      <c r="A64" t="inlineStr">
        <is>
          <t>IPCC</t>
        </is>
      </c>
      <c r="B64" t="n">
        <v>2023</v>
      </c>
      <c r="C64" t="n">
        <v>71.47</v>
      </c>
      <c r="D64" t="inlineStr">
        <is>
          <t>FINAL</t>
        </is>
      </c>
    </row>
    <row r="65">
      <c r="A65" t="inlineStr">
        <is>
          <t>IPCC</t>
        </is>
      </c>
      <c r="B65" t="n">
        <v>2024</v>
      </c>
      <c r="C65" t="n">
        <v>86.81</v>
      </c>
      <c r="D65" t="inlineStr">
        <is>
          <t>FINAL</t>
        </is>
      </c>
    </row>
    <row r="66">
      <c r="A66" t="inlineStr">
        <is>
          <t>IPCC</t>
        </is>
      </c>
      <c r="B66" t="n">
        <v>2025</v>
      </c>
      <c r="C66" t="n">
        <v>95.11</v>
      </c>
      <c r="D66" t="inlineStr">
        <is>
          <t>FINAL</t>
        </is>
      </c>
    </row>
    <row r="67">
      <c r="A67" t="inlineStr">
        <is>
          <t>IPCC</t>
        </is>
      </c>
      <c r="B67" t="n">
        <v>2026</v>
      </c>
      <c r="C67" t="n">
        <v>112.85</v>
      </c>
      <c r="D67" t="inlineStr">
        <is>
          <t>TTM</t>
        </is>
      </c>
    </row>
    <row r="68">
      <c r="A68" t="inlineStr">
        <is>
          <t>TUGU</t>
        </is>
      </c>
      <c r="B68" t="n">
        <v>2021</v>
      </c>
      <c r="C68" t="n">
        <v>26.1</v>
      </c>
      <c r="D68" t="inlineStr">
        <is>
          <t>FINAL</t>
        </is>
      </c>
    </row>
    <row r="69">
      <c r="A69" t="inlineStr">
        <is>
          <t>TUGU</t>
        </is>
      </c>
      <c r="B69" t="n">
        <v>2022</v>
      </c>
      <c r="C69" t="n">
        <v>35.6</v>
      </c>
      <c r="D69" t="inlineStr">
        <is>
          <t>FINAL</t>
        </is>
      </c>
    </row>
    <row r="70">
      <c r="A70" t="inlineStr">
        <is>
          <t>TUGU</t>
        </is>
      </c>
      <c r="B70" t="n">
        <v>2023</v>
      </c>
      <c r="C70" t="n">
        <v>64.56</v>
      </c>
      <c r="D70" t="inlineStr">
        <is>
          <t>FINAL</t>
        </is>
      </c>
    </row>
    <row r="71">
      <c r="A71" t="inlineStr">
        <is>
          <t>TUGU</t>
        </is>
      </c>
      <c r="B71" t="n">
        <v>2024</v>
      </c>
      <c r="C71" t="n">
        <v>123.26</v>
      </c>
      <c r="D71" t="inlineStr">
        <is>
          <t>FINAL</t>
        </is>
      </c>
    </row>
    <row r="72">
      <c r="A72" t="inlineStr">
        <is>
          <t>TUGU</t>
        </is>
      </c>
      <c r="B72" t="n">
        <v>2025</v>
      </c>
      <c r="C72" t="n">
        <v>78.84999999999999</v>
      </c>
      <c r="D72" t="inlineStr">
        <is>
          <t>FINAL</t>
        </is>
      </c>
    </row>
    <row r="73">
      <c r="A73" t="inlineStr">
        <is>
          <t>TUGU</t>
        </is>
      </c>
      <c r="B73" t="n">
        <v>2026</v>
      </c>
      <c r="C73" t="n">
        <v>99.98999999999999</v>
      </c>
      <c r="D73" t="inlineStr">
        <is>
          <t>TTM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70" t="inlineStr">
        <is>
          <t>KODE</t>
        </is>
      </c>
      <c r="B1" s="70" t="inlineStr">
        <is>
          <t>NAMA</t>
        </is>
      </c>
      <c r="C1" s="70" t="inlineStr">
        <is>
          <t>PENDAPATAN TTM</t>
        </is>
      </c>
      <c r="D1" s="70" t="inlineStr">
        <is>
          <t>LABA BERSIH TTM</t>
        </is>
      </c>
      <c r="E1" s="70" t="inlineStr">
        <is>
          <t>EPS TTM</t>
        </is>
      </c>
      <c r="F1" s="70" t="inlineStr">
        <is>
          <t>DPS TTM</t>
        </is>
      </c>
      <c r="G1" s="70" t="inlineStr">
        <is>
          <t>CAGR PENDAPATAN</t>
        </is>
      </c>
      <c r="H1" s="70" t="inlineStr">
        <is>
          <t>CAGR LABA</t>
        </is>
      </c>
      <c r="I1" s="70" t="inlineStr">
        <is>
          <t>ROE</t>
        </is>
      </c>
      <c r="J1" s="70" t="inlineStr">
        <is>
          <t>DER</t>
        </is>
      </c>
      <c r="K1" s="70" t="inlineStr">
        <is>
          <t>PM</t>
        </is>
      </c>
      <c r="L1" s="70" t="inlineStr">
        <is>
          <t>OM</t>
        </is>
      </c>
    </row>
    <row r="2">
      <c r="A2" t="inlineStr">
        <is>
          <t>BMRI</t>
        </is>
      </c>
      <c r="B2" t="inlineStr">
        <is>
          <t>Bank Mandiri</t>
        </is>
      </c>
      <c r="C2" t="n">
        <v>139.872457</v>
      </c>
      <c r="D2" t="n">
        <v>64.097809</v>
      </c>
      <c r="E2" t="n">
        <v>687.14</v>
      </c>
      <c r="F2" t="n">
        <v>476.96</v>
      </c>
      <c r="G2" s="71" t="n">
        <v>0.10075504859212</v>
      </c>
      <c r="H2" s="71" t="n">
        <v>0.1799123172951136</v>
      </c>
      <c r="I2" s="71" t="n"/>
      <c r="J2" s="72" t="n"/>
      <c r="K2" s="71" t="n">
        <v>0.4582589766046649</v>
      </c>
    </row>
    <row r="3">
      <c r="A3" t="inlineStr">
        <is>
          <t>BBRI</t>
        </is>
      </c>
      <c r="B3" t="inlineStr">
        <is>
          <t>Bank Rakyat Indonesia</t>
        </is>
      </c>
      <c r="C3" t="n">
        <v>146.842701</v>
      </c>
      <c r="D3" t="n">
        <v>61.241085</v>
      </c>
      <c r="E3" t="n">
        <v>406.65</v>
      </c>
      <c r="F3" t="n">
        <v>346</v>
      </c>
      <c r="G3" s="71" t="n">
        <v>0.05645011712684211</v>
      </c>
      <c r="H3" s="71" t="n">
        <v>0.1453806780291125</v>
      </c>
      <c r="I3" s="71" t="n"/>
      <c r="J3" s="72" t="n"/>
      <c r="K3" s="71" t="n">
        <v>0.4170522918943039</v>
      </c>
    </row>
    <row r="4">
      <c r="A4" t="inlineStr">
        <is>
          <t>BBCA</t>
        </is>
      </c>
      <c r="B4" t="inlineStr">
        <is>
          <t>Bank Central Asia</t>
        </is>
      </c>
      <c r="C4" t="n">
        <v>110.550506</v>
      </c>
      <c r="D4" t="n">
        <v>59.355699</v>
      </c>
      <c r="E4" t="n">
        <v>482.44</v>
      </c>
      <c r="F4" t="n">
        <v>381</v>
      </c>
      <c r="G4" s="71" t="n">
        <v>0.09840165630506448</v>
      </c>
      <c r="H4" s="71" t="n">
        <v>0.1356484055852012</v>
      </c>
      <c r="I4" s="71" t="n"/>
      <c r="J4" s="72" t="n"/>
      <c r="K4" s="71" t="n">
        <v>0.5369102426360672</v>
      </c>
    </row>
    <row r="5">
      <c r="A5" t="inlineStr">
        <is>
          <t>BJBR</t>
        </is>
      </c>
      <c r="B5" t="inlineStr">
        <is>
          <t>Bank BJB</t>
        </is>
      </c>
      <c r="C5" t="n">
        <v>9.283436</v>
      </c>
      <c r="D5" t="n">
        <v>1.442705</v>
      </c>
      <c r="E5" t="n">
        <v>137.12</v>
      </c>
      <c r="F5" t="n">
        <v>85.54000000000001</v>
      </c>
      <c r="G5" s="71" t="n">
        <v>0.0076918533147039</v>
      </c>
      <c r="H5" s="71" t="n">
        <v>-0.06619362015772479</v>
      </c>
      <c r="I5" s="71" t="n"/>
      <c r="J5" s="72" t="n"/>
      <c r="K5" s="71" t="n">
        <v>0.1554063603174514</v>
      </c>
    </row>
    <row r="6">
      <c r="A6" t="inlineStr">
        <is>
          <t>BJTM</t>
        </is>
      </c>
      <c r="B6" t="inlineStr">
        <is>
          <t>Bank Jatim</t>
        </is>
      </c>
      <c r="C6" t="n">
        <v>7.886075</v>
      </c>
      <c r="D6" t="n">
        <v>1.56709</v>
      </c>
      <c r="E6" t="n">
        <v>104.36</v>
      </c>
      <c r="F6" t="n">
        <v>56.62</v>
      </c>
      <c r="G6" s="71" t="n">
        <v>0.1105264174704408</v>
      </c>
      <c r="H6" s="71" t="n">
        <v>0.005714739485774833</v>
      </c>
      <c r="I6" s="71" t="n"/>
      <c r="J6" s="72" t="n"/>
      <c r="K6" s="71" t="n">
        <v>0.1987160913382132</v>
      </c>
    </row>
    <row r="7">
      <c r="A7" t="inlineStr">
        <is>
          <t>TLKM</t>
        </is>
      </c>
      <c r="B7" t="inlineStr">
        <is>
          <t>Telkom Indonesia</t>
        </is>
      </c>
      <c r="C7" t="n">
        <v>149.616</v>
      </c>
      <c r="D7" t="n">
        <v>17.964</v>
      </c>
      <c r="E7" t="n">
        <v>181.57</v>
      </c>
      <c r="F7" t="n">
        <v>223.17</v>
      </c>
      <c r="G7" s="71" t="n">
        <v>0.008790396039632276</v>
      </c>
      <c r="H7" s="71" t="n">
        <v>-0.06304009203769778</v>
      </c>
      <c r="I7" s="71" t="n"/>
      <c r="J7" s="72" t="n"/>
      <c r="K7" s="71" t="n">
        <v>0.1200673724735322</v>
      </c>
    </row>
    <row r="8">
      <c r="A8" t="inlineStr">
        <is>
          <t>HMSP</t>
        </is>
      </c>
      <c r="B8" t="inlineStr">
        <is>
          <t>HM Sampoerna</t>
        </is>
      </c>
      <c r="C8" t="n">
        <v>52.301117</v>
      </c>
      <c r="D8" t="n">
        <v>8.613279</v>
      </c>
      <c r="E8" t="n">
        <v>73.73</v>
      </c>
      <c r="F8" t="n">
        <v>56.3</v>
      </c>
      <c r="G8" s="71" t="n">
        <v>0.0472881339106157</v>
      </c>
      <c r="H8" s="71" t="n">
        <v>0.03831560981554039</v>
      </c>
      <c r="I8" s="71" t="n"/>
      <c r="J8" s="72" t="n"/>
      <c r="K8" s="71" t="n">
        <v>0.164686329739382</v>
      </c>
    </row>
    <row r="9">
      <c r="A9" t="inlineStr">
        <is>
          <t>CLEO</t>
        </is>
      </c>
      <c r="B9" t="inlineStr">
        <is>
          <t>Sariguna Primatirta</t>
        </is>
      </c>
      <c r="C9" t="n">
        <v>3.150473</v>
      </c>
      <c r="D9" t="n">
        <v>0.430099</v>
      </c>
      <c r="E9" t="n">
        <v>17.92</v>
      </c>
      <c r="F9" t="n">
        <v>2.5</v>
      </c>
      <c r="G9" s="71" t="n">
        <v>0.2334430739706856</v>
      </c>
      <c r="H9" s="71" t="n">
        <v>0.1893681053558196</v>
      </c>
      <c r="I9" s="71" t="n"/>
      <c r="J9" s="72" t="n"/>
      <c r="K9" s="71" t="n">
        <v>0.1365188655798669</v>
      </c>
    </row>
    <row r="10">
      <c r="A10" t="inlineStr">
        <is>
          <t>ADRO</t>
        </is>
      </c>
      <c r="B10" t="inlineStr">
        <is>
          <t>Alamtri Resources</t>
        </is>
      </c>
      <c r="D10" t="n">
        <v>582.12</v>
      </c>
      <c r="E10" t="n">
        <v>361.18</v>
      </c>
      <c r="F10" t="n">
        <v>263.4</v>
      </c>
      <c r="G10" s="71" t="n"/>
      <c r="H10" s="71" t="n">
        <v>-0.09012743496562137</v>
      </c>
      <c r="I10" s="71" t="n"/>
      <c r="J10" s="72" t="n"/>
      <c r="K10" s="71" t="n"/>
    </row>
    <row r="11">
      <c r="A11" t="inlineStr">
        <is>
          <t>PTBA</t>
        </is>
      </c>
      <c r="B11" t="inlineStr">
        <is>
          <t>Bukit Asam</t>
        </is>
      </c>
      <c r="C11" t="n">
        <v>44.227234</v>
      </c>
      <c r="D11" t="n">
        <v>4.746812</v>
      </c>
      <c r="E11" t="n">
        <v>411.7</v>
      </c>
      <c r="F11" t="n">
        <v>114.51</v>
      </c>
      <c r="G11" s="71" t="n">
        <v>0.0861223079520681</v>
      </c>
      <c r="H11" s="71" t="n">
        <v>-0.09706840440973918</v>
      </c>
      <c r="I11" s="71" t="n"/>
      <c r="J11" s="72" t="n"/>
      <c r="K11" s="71" t="n">
        <v>0.1073278062109876</v>
      </c>
    </row>
    <row r="12">
      <c r="A12" t="inlineStr">
        <is>
          <t>PGEO</t>
        </is>
      </c>
      <c r="B12" t="inlineStr">
        <is>
          <t>Pertamina Geothermal</t>
        </is>
      </c>
      <c r="D12" t="n">
        <v>148.36</v>
      </c>
      <c r="E12" t="n">
        <v>63.17</v>
      </c>
      <c r="F12" t="n">
        <v>49.44</v>
      </c>
      <c r="G12" s="71" t="n"/>
      <c r="H12" s="71" t="n">
        <v>0.1176295312906912</v>
      </c>
      <c r="I12" s="71" t="n"/>
      <c r="J12" s="72" t="n"/>
      <c r="K12" s="71" t="n"/>
    </row>
    <row r="13">
      <c r="A13" t="inlineStr">
        <is>
          <t>POWR</t>
        </is>
      </c>
      <c r="B13" t="inlineStr">
        <is>
          <t>Cikarang Listrindo</t>
        </is>
      </c>
      <c r="D13" t="n">
        <v>69.55</v>
      </c>
      <c r="E13" t="n">
        <v>78.53</v>
      </c>
      <c r="F13" t="n">
        <v>73.73999999999999</v>
      </c>
      <c r="G13" s="71" t="n"/>
      <c r="H13" s="71" t="n">
        <v>-0.05117238483996811</v>
      </c>
      <c r="I13" s="71" t="n"/>
      <c r="J13" s="72" t="n"/>
      <c r="K13" s="71" t="n"/>
    </row>
    <row r="14">
      <c r="A14" t="inlineStr">
        <is>
          <t>IPCC</t>
        </is>
      </c>
      <c r="B14" t="inlineStr">
        <is>
          <t>Indonesia Kendaraan Terminal</t>
        </is>
      </c>
      <c r="C14" t="n">
        <v>0.927911</v>
      </c>
      <c r="D14" t="n">
        <v>0.245949</v>
      </c>
      <c r="E14" t="n">
        <v>135.26</v>
      </c>
      <c r="F14" t="n">
        <v>112.85</v>
      </c>
      <c r="G14" s="71" t="n">
        <v>0.1241662566884176</v>
      </c>
      <c r="H14" s="71" t="n">
        <v>0.3257380820701103</v>
      </c>
      <c r="I14" s="71" t="n"/>
      <c r="J14" s="72" t="n"/>
      <c r="K14" s="71" t="n">
        <v>0.2650566703056651</v>
      </c>
    </row>
    <row r="15">
      <c r="A15" t="inlineStr">
        <is>
          <t>TUGU</t>
        </is>
      </c>
      <c r="B15" t="inlineStr">
        <is>
          <t>Asuransi Tugu Pratama</t>
        </is>
      </c>
      <c r="C15" t="n">
        <v>5.75154</v>
      </c>
      <c r="D15" t="n">
        <v>0.919788</v>
      </c>
      <c r="E15" t="n">
        <v>258.69</v>
      </c>
      <c r="F15" t="n">
        <v>99.98999999999999</v>
      </c>
      <c r="G15" s="71" t="n">
        <v>0.1634654588497053</v>
      </c>
      <c r="H15" s="71" t="n">
        <v>0.2378507777404508</v>
      </c>
      <c r="I15" s="71" t="n"/>
      <c r="J15" s="72" t="n"/>
      <c r="K15" s="71" t="n">
        <v>0.159920299606714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55" customWidth="1" min="4" max="4"/>
  </cols>
  <sheetData>
    <row r="1">
      <c r="A1" s="70" t="inlineStr">
        <is>
          <t>KODE</t>
        </is>
      </c>
      <c r="B1" s="70" t="inlineStr">
        <is>
          <t>MINGGU</t>
        </is>
      </c>
      <c r="C1" s="70" t="inlineStr">
        <is>
          <t>PERIODE</t>
        </is>
      </c>
      <c r="D1" s="70" t="inlineStr">
        <is>
          <t>HARGA</t>
        </is>
      </c>
    </row>
    <row r="2">
      <c r="D2" t="inlineStr">
        <is>
          <t>Isi minimal 10 minggu per saham untuk grafik tren harga.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2026-10-28T05:35:42Z</dcterms:created>
  <dcterms:modified xmlns:dcterms="http://purl.org/dc/terms/" xmlns:xsi="http://www.w3.org/2001/XMLSchema-instance" xsi:type="dcterms:W3CDTF">2026-10-28T07:44:29Z</dcterms:modified>
</cp:coreProperties>
</file>